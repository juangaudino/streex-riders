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4f921afbbf43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5244dc85ab4e44c1"/>
    <x:sheet xmlns:r="http://schemas.openxmlformats.org/officeDocument/2006/relationships" name="Inventory" sheetId="2" r:id="Rc49bc1cb623349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11111"/>
      <x:name val="Carlito"/>
    </x:font>
    <x:font>
      <x:b/>
      <x:sz val="11"/>
      <x:color rgb="FFF4D000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  <x:font>
      <x:b/>
      <x:sz val="16"/>
      <x:color rgb="FFFFFFFF"/>
      <x:name val="Carlito"/>
    </x:font>
    <x:font>
      <x:sz val="10"/>
      <x:color rgb="FF111827"/>
      <x:name val="Carlito"/>
    </x:font>
    <x:font>
      <x:b/>
      <x:sz val="10"/>
      <x:color rgb="FF111827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4D000"/>
      </x:patternFill>
    </x:fill>
    <x:fill>
      <x:patternFill patternType="solid">
        <x:fgColor rgb="FF262626"/>
      </x:patternFill>
    </x:fill>
    <x:fill>
      <x:patternFill patternType="solid">
        <x:fgColor rgb="FFF1F6FF"/>
      </x:patternFill>
    </x:fill>
    <x:fill>
      <x:patternFill patternType="solid">
        <x:fgColor rgb="FFE8EEF8"/>
      </x:patternFill>
    </x:fill>
    <x:fill>
      <x:patternFill patternType="solid">
        <x:fgColor rgb="FFFFF7CC"/>
      </x:patternFill>
    </x:fill>
    <x:fill>
      <x:patternFill patternType="solid">
        <x:fgColor rgb="FFF8FAFC"/>
      </x:patternFill>
    </x:fill>
    <x:fill>
      <x:patternFill patternType="solid">
        <x:fgColor rgb="FF252525"/>
      </x:patternFill>
    </x:fill>
    <x:fill>
      <x:patternFill patternType="solid">
        <x:fgColor rgb="FFE6EFFA"/>
      </x:patternFill>
    </x:fill>
    <x:fill>
      <x:patternFill patternType="solid">
        <x:fgColor rgb="FFD9F2E6"/>
      </x:patternFill>
    </x:fill>
    <x:fill>
      <x:patternFill patternType="solid">
        <x:fgColor rgb="FFE4F4EA"/>
      </x:patternFill>
    </x:fill>
    <x:fill>
      <x:patternFill patternType="solid">
        <x:fgColor rgb="FFDCEBFF"/>
      </x:patternFill>
    </x:fill>
    <x:fill>
      <x:patternFill patternType="solid">
        <x:fgColor rgb="FFFFF0C2"/>
      </x:patternFill>
    </x:fill>
    <x:fill>
      <x:patternFill patternType="solid">
        <x:fgColor rgb="FFFDE2E2"/>
      </x:patternFill>
    </x:fill>
    <x:fill>
      <x:patternFill patternType="solid">
        <x:fgColor rgb="FFEEF0F4"/>
      </x:patternFill>
    </x:fill>
  </x:fills>
  <x:borders count="3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vertical="center"/>
    </x:xf>
    <x:xf numFmtId="0" fontId="2" fillId="3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5" fillId="2" borderId="1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2" fillId="7" borderId="1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/>
    <x:xf numFmtId="0" fontId="4" fillId="8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 applyAlignment="1">
      <x:alignment horizontal="center" wrapText="1"/>
    </x:xf>
    <x:xf numFmtId="0" fontId="5" fillId="9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0" fontId="8" fillId="5" borderId="0" xfId="0" applyNumberFormat="1" applyFont="1" applyFill="1" applyBorder="1" applyAlignment="1">
      <x:alignment vertical="center" wrapText="1"/>
    </x:xf>
    <x:xf numFmtId="0" fontId="8" fillId="10" borderId="0" xfId="0" applyNumberFormat="1" applyFont="1" applyFill="1" applyBorder="1" applyAlignment="1">
      <x:alignment vertical="center" wrapText="1"/>
    </x:xf>
    <x:xf numFmtId="0" fontId="8" fillId="11" borderId="0" xfId="0" applyNumberFormat="1" applyFont="1" applyFill="1" applyBorder="1" applyAlignment="1">
      <x:alignment vertical="center" wrapText="1"/>
    </x:xf>
    <x:xf numFmtId="0" fontId="9" fillId="11" borderId="0" xfId="0" applyNumberFormat="1" applyFont="1" applyFill="1" applyBorder="1" applyAlignment="1">
      <x:alignment vertical="center" wrapText="1"/>
    </x:xf>
    <x:xf numFmtId="0" fontId="9" fillId="11" borderId="0" xfId="0" applyNumberFormat="1" applyFont="1" applyFill="1" applyBorder="1" applyAlignment="1">
      <x:alignment horizontal="center" vertical="center" wrapText="1"/>
    </x:xf>
    <x:xf numFmtId="0" fontId="8" fillId="12" borderId="0" xfId="0" applyNumberFormat="1" applyFont="1" applyFill="1" applyBorder="1" applyAlignment="1">
      <x:alignment vertical="center" wrapText="1"/>
    </x:xf>
    <x:xf numFmtId="0" fontId="9" fillId="12" borderId="0" xfId="0" applyNumberFormat="1" applyFont="1" applyFill="1" applyBorder="1" applyAlignment="1">
      <x:alignment vertical="center" wrapText="1"/>
    </x:xf>
    <x:xf numFmtId="0" fontId="8" fillId="13" borderId="0" xfId="0" applyNumberFormat="1" applyFont="1" applyFill="1" applyBorder="1" applyAlignment="1">
      <x:alignment vertical="center" wrapText="1"/>
    </x:xf>
    <x:xf numFmtId="0" fontId="9" fillId="13" borderId="0" xfId="0" applyNumberFormat="1" applyFont="1" applyFill="1" applyBorder="1" applyAlignment="1">
      <x:alignment vertical="center" wrapText="1"/>
    </x:xf>
    <x:xf numFmtId="0" fontId="8" fillId="14" borderId="0" xfId="0" applyNumberFormat="1" applyFont="1" applyFill="1" applyBorder="1" applyAlignment="1">
      <x:alignment vertical="center" wrapText="1"/>
    </x:xf>
    <x:xf numFmtId="0" fontId="9" fillId="14" borderId="0" xfId="0" applyNumberFormat="1" applyFont="1" applyFill="1" applyBorder="1" applyAlignment="1">
      <x:alignment vertic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8" fillId="15" borderId="0" xfId="0" applyNumberFormat="1" applyFont="1" applyFill="1" applyBorder="1" applyAlignment="1">
      <x:alignment vertical="center" wrapText="1"/>
    </x:xf>
    <x:xf numFmtId="0" fontId="9" fillId="15" borderId="0" xfId="0" applyNumberFormat="1" applyFont="1" applyFill="1" applyBorder="1" applyAlignment="1">
      <x:alignment vertical="center" wrapText="1"/>
    </x:xf>
    <x:xf numFmtId="0" fontId="8" fillId="16" borderId="0" xfId="0" applyNumberFormat="1" applyFont="1" applyFill="1" applyBorder="1" applyAlignment="1">
      <x:alignment vertical="center" wrapText="1"/>
    </x:xf>
    <x:xf numFmtId="0" fontId="9" fillId="16" borderId="0" xfId="0" applyNumberFormat="1" applyFont="1" applyFill="1" applyBorder="1" applyAlignment="1">
      <x:alignment vertical="center" wrapText="1"/>
    </x:xf>
    <x:xf numFmtId="0" fontId="7" fillId="2" borderId="2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/>
    <x:xf numFmtId="0" fontId="5" fillId="9" borderId="2" xfId="0" applyNumberFormat="1" applyFont="1" applyFill="1" applyBorder="1" applyAlignment="1">
      <x:alignment horizontal="center" vertical="center" wrapText="1"/>
    </x:xf>
    <x:xf numFmtId="0" fontId="8" fillId="5" borderId="2" xfId="0" applyNumberFormat="1" applyFont="1" applyFill="1" applyBorder="1" applyAlignment="1">
      <x:alignment vertical="center" wrapText="1"/>
    </x:xf>
    <x:xf numFmtId="0" fontId="9" fillId="12" borderId="2" xfId="0" applyNumberFormat="1" applyFont="1" applyFill="1" applyBorder="1" applyAlignment="1">
      <x:alignment vertical="center" wrapText="1"/>
    </x:xf>
    <x:xf numFmtId="0" fontId="9" fillId="11" borderId="2" xfId="0" applyNumberFormat="1" applyFont="1" applyFill="1" applyBorder="1" applyAlignment="1">
      <x:alignment vertical="center" wrapText="1"/>
    </x:xf>
    <x:xf numFmtId="0" fontId="9" fillId="11" borderId="2" xfId="0" applyNumberFormat="1" applyFont="1" applyFill="1" applyBorder="1" applyAlignment="1">
      <x:alignment horizontal="center" vertical="center" wrapText="1"/>
    </x:xf>
    <x:xf numFmtId="0" fontId="8" fillId="10" borderId="2" xfId="0" applyNumberFormat="1" applyFont="1" applyFill="1" applyBorder="1" applyAlignment="1">
      <x:alignment vertical="center" wrapText="1"/>
    </x:xf>
    <x:xf numFmtId="0" fontId="9" fillId="13" borderId="2" xfId="0" applyNumberFormat="1" applyFont="1" applyFill="1" applyBorder="1" applyAlignment="1">
      <x:alignment vertical="center" wrapText="1"/>
    </x:xf>
    <x:xf numFmtId="0" fontId="9" fillId="14" borderId="2" xfId="0" applyNumberFormat="1" applyFont="1" applyFill="1" applyBorder="1" applyAlignment="1">
      <x:alignment vertical="center" wrapText="1"/>
    </x:xf>
    <x:xf numFmtId="0" fontId="9" fillId="14" borderId="2" xfId="0" applyNumberFormat="1" applyFont="1" applyFill="1" applyBorder="1" applyAlignment="1">
      <x:alignment horizontal="center" vertical="center" wrapText="1"/>
    </x:xf>
    <x:xf numFmtId="0" fontId="9" fillId="16" borderId="2" xfId="0" applyNumberFormat="1" applyFont="1" applyFill="1" applyBorder="1" applyAlignment="1">
      <x:alignment vertical="center" wrapText="1"/>
    </x:xf>
    <x:xf numFmtId="0" fontId="9" fillId="15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b14e1d9f934296" /><Relationship Type="http://schemas.openxmlformats.org/officeDocument/2006/relationships/theme" Target="/xl/theme/theme1.xml" Id="R6e42661629164560" /><Relationship Type="http://schemas.openxmlformats.org/officeDocument/2006/relationships/sharedStrings" Target="/xl/sharedStrings.xml" Id="Ra33e00f0800740fa" /><Relationship Type="http://schemas.openxmlformats.org/officeDocument/2006/relationships/worksheet" Target="/xl/worksheets/sheet1.xml" Id="R5244dc85ab4e44c1" /><Relationship Type="http://schemas.openxmlformats.org/officeDocument/2006/relationships/worksheet" Target="/xl/worksheets/sheet2.xml" Id="Rc49bc1cb6233491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65" hidden="0" customWidth="1"/>
  </x:cols>
  <x:sheetData>
    <x:row r="1" ht="30" customHeight="1">
      <x:c r="A1" s="26" t="str">
        <x:v>STREEX Passenger Console — Around You</x:v>
      </x:c>
      <x:c r="B1" s="26"/>
      <x:c r="C1" s="26"/>
      <x:c r="D1" s="26"/>
      <x:c r="E1" s="26"/>
      <x:c r="F1" s="26"/>
      <x:c r="G1" s="26"/>
      <x:c r="H1" s="26"/>
    </x:row>
    <x:row r="2" ht="24" customHeight="1">
      <x:c r="A2" s="27" t="str">
        <x:v>P1.3 user-photo activation · 100 places across the STREEX corridor</x:v>
      </x:c>
      <x:c r="B2" s="27"/>
      <x:c r="C2" s="27"/>
      <x:c r="D2" s="27"/>
      <x:c r="E2" s="27"/>
      <x:c r="F2" s="27"/>
      <x:c r="G2" s="27"/>
      <x:c r="H2" s="27"/>
    </x:row>
    <x:row r="3">
      <x:c r="A3" s="28"/>
      <x:c r="B3" s="28"/>
      <x:c r="C3" s="28"/>
      <x:c r="D3" s="28"/>
      <x:c r="E3" s="28"/>
      <x:c r="F3" s="28"/>
      <x:c r="G3" s="28"/>
      <x:c r="H3" s="28"/>
    </x:row>
    <x:row r="4" ht="32" customHeight="1">
      <x:c r="A4" s="29" t="str">
        <x:v>Workflow</x:v>
      </x:c>
      <x:c r="B4" s="30" t="str">
        <x:v>Review this inventory, then upload originals using the exact requested filename.</x:v>
      </x:c>
      <x:c r="C4" s="28"/>
      <x:c r="D4" s="28"/>
      <x:c r="E4" s="28"/>
      <x:c r="F4" s="28"/>
      <x:c r="G4" s="28"/>
      <x:c r="H4" s="28"/>
    </x:row>
    <x:row r="5" ht="32" customHeight="1">
      <x:c r="A5" s="29" t="str">
        <x:v>Original upload folder</x:v>
      </x:c>
      <x:c r="B5" s="30" t="str">
        <x:v>assets-source/passenger/around-you/user-originals/</x:v>
      </x:c>
      <x:c r="C5" s="28"/>
      <x:c r="D5" s="28"/>
      <x:c r="E5" s="28"/>
      <x:c r="F5" s="28"/>
      <x:c r="G5" s="28"/>
      <x:c r="H5" s="28"/>
    </x:row>
    <x:row r="6" ht="32" customHeight="1">
      <x:c r="A6" s="29" t="str">
        <x:v>Optimized app folder</x:v>
      </x:c>
      <x:c r="B6" s="30" t="str">
        <x:v>public/images/passenger/around-you/</x:v>
      </x:c>
      <x:c r="C6" s="28"/>
      <x:c r="D6" s="28"/>
      <x:c r="E6" s="28"/>
      <x:c r="F6" s="28"/>
      <x:c r="G6" s="28"/>
      <x:c r="H6" s="28"/>
    </x:row>
    <x:row r="7" ht="32" customHeight="1">
      <x:c r="A7" s="29" t="str">
        <x:v>Image rule</x:v>
      </x:c>
      <x:c r="B7" s="30" t="str">
        <x:v>One hero image per place; the main Around You card never uses a collage.</x:v>
      </x:c>
      <x:c r="C7" s="28"/>
      <x:c r="D7" s="28"/>
      <x:c r="E7" s="28"/>
      <x:c r="F7" s="28"/>
      <x:c r="G7" s="28"/>
      <x:c r="H7" s="28"/>
    </x:row>
    <x:row r="8" ht="32" customHeight="1">
      <x:c r="A8" s="29" t="str">
        <x:v>Privacy rule</x:v>
      </x:c>
      <x:c r="B8" s="30" t="str">
        <x:v>Strip EXIF/GPS from public copies; keep raw originals local and ignored.</x:v>
      </x:c>
      <x:c r="C8" s="28"/>
      <x:c r="D8" s="28"/>
      <x:c r="E8" s="28"/>
      <x:c r="F8" s="28"/>
      <x:c r="G8" s="28"/>
      <x:c r="H8" s="28"/>
    </x:row>
    <x:row r="9">
      <x:c r="A9" s="28"/>
      <x:c r="B9" s="28"/>
      <x:c r="C9" s="28"/>
      <x:c r="D9" s="28"/>
      <x:c r="E9" s="28"/>
      <x:c r="F9" s="28"/>
      <x:c r="G9" s="28"/>
      <x:c r="H9" s="28"/>
    </x:row>
    <x:row r="10">
      <x:c r="A10" s="36" t="str">
        <x:v>Metric</x:v>
      </x:c>
      <x:c r="B10" s="31" t="str">
        <x:v>Value</x:v>
      </x:c>
      <x:c r="C10" s="28"/>
      <x:c r="D10" s="28"/>
      <x:c r="E10" s="28"/>
      <x:c r="F10" s="28"/>
      <x:c r="G10" s="28"/>
      <x:c r="H10" s="28"/>
    </x:row>
    <x:row r="11">
      <x:c r="A11" s="37" t="str">
        <x:v>Total places</x:v>
      </x:c>
      <x:c r="B11" s="33" t="n">
        <x:f>COUNTA('Inventory'!A5:A104)</x:f>
        <x:v>100</x:v>
      </x:c>
      <x:c r="C11" s="28"/>
      <x:c r="D11" s="28"/>
      <x:c r="E11" s="28"/>
      <x:c r="F11" s="28"/>
      <x:c r="G11" s="28"/>
      <x:c r="H11" s="28"/>
    </x:row>
    <x:row r="12">
      <x:c r="A12" s="37" t="str">
        <x:v>Active in app</x:v>
      </x:c>
      <x:c r="B12" s="33" t="n">
        <x:f>COUNTIF('Inventory'!F5:F104,"Active in app")</x:f>
        <x:v>32</x:v>
      </x:c>
      <x:c r="C12" s="28"/>
      <x:c r="D12" s="28"/>
      <x:c r="E12" s="28"/>
      <x:c r="F12" s="28"/>
      <x:c r="G12" s="28"/>
      <x:c r="H12" s="28"/>
    </x:row>
    <x:row r="13">
      <x:c r="A13" s="37" t="str">
        <x:v>Candidates — not active</x:v>
      </x:c>
      <x:c r="B13" s="33" t="n">
        <x:f>COUNTIF('Inventory'!F5:F104,"Candidate — not active")</x:f>
        <x:v>68</x:v>
      </x:c>
      <x:c r="C13" s="28"/>
      <x:c r="D13" s="28"/>
      <x:c r="E13" s="28"/>
      <x:c r="F13" s="28"/>
      <x:c r="G13" s="28"/>
      <x:c r="H13" s="28"/>
    </x:row>
    <x:row r="14">
      <x:c r="A14" s="37" t="str">
        <x:v>Own local asset</x:v>
      </x:c>
      <x:c r="B14" s="33" t="n">
        <x:v>16</x:v>
      </x:c>
      <x:c r="C14" s="28"/>
      <x:c r="D14" s="28"/>
      <x:c r="E14" s="28"/>
      <x:c r="F14" s="28"/>
      <x:c r="G14" s="28"/>
      <x:c r="H14" s="28"/>
    </x:row>
    <x:row r="15">
      <x:c r="A15" s="37" t="str">
        <x:v>Original staged — rights recorded</x:v>
      </x:c>
      <x:c r="B15" s="33" t="n">
        <x:v>3</x:v>
      </x:c>
      <x:c r="C15" s="28"/>
      <x:c r="D15" s="28"/>
      <x:c r="E15" s="28"/>
      <x:c r="F15" s="28"/>
      <x:c r="G15" s="28"/>
      <x:c r="H15" s="28"/>
    </x:row>
    <x:row r="16">
      <x:c r="A16" s="37" t="str">
        <x:v>Curated Commons asset</x:v>
      </x:c>
      <x:c r="B16" s="33" t="n">
        <x:v>5</x:v>
      </x:c>
      <x:c r="C16" s="28"/>
      <x:c r="D16" s="28"/>
      <x:c r="E16" s="28"/>
      <x:c r="F16" s="28"/>
      <x:c r="G16" s="28"/>
      <x:c r="H16" s="28"/>
    </x:row>
    <x:row r="17">
      <x:c r="A17" s="37" t="str">
        <x:v>Shared fallback</x:v>
      </x:c>
      <x:c r="B17" s="33" t="n">
        <x:v>8</x:v>
      </x:c>
      <x:c r="C17" s="28"/>
      <x:c r="D17" s="28"/>
      <x:c r="E17" s="28"/>
      <x:c r="F17" s="28"/>
      <x:c r="G17" s="28"/>
      <x:c r="H17" s="28"/>
    </x:row>
    <x:row r="18">
      <x:c r="A18" s="37" t="str">
        <x:v>Missing original</x:v>
      </x:c>
      <x:c r="B18" s="33" t="n">
        <x:v>68</x:v>
      </x:c>
      <x:c r="C18" s="28"/>
      <x:c r="D18" s="28"/>
      <x:c r="E18" s="28"/>
      <x:c r="F18" s="28"/>
      <x:c r="G18" s="28"/>
      <x:c r="H18" s="28"/>
    </x:row>
    <x:row r="19">
      <x:c r="A19" s="38" t="str">
        <x:v>Images still needed</x:v>
      </x:c>
      <x:c r="B19" s="28" t="n">
        <x:v>76</x:v>
      </x:c>
      <x:c r="C19" s="28"/>
      <x:c r="D19" s="28"/>
      <x:c r="E19" s="28"/>
      <x:c r="F19" s="28"/>
      <x:c r="G19" s="28"/>
      <x:c r="H19" s="28"/>
    </x:row>
    <x:row r="20" ht="30" customHeight="1">
      <x:c r="A20" s="39" t="str">
        <x:v>Status</x:v>
      </x:c>
      <x:c r="B20" s="34" t="str">
        <x:v>Meaning</x:v>
      </x:c>
      <x:c r="C20" s="28"/>
      <x:c r="D20" s="28"/>
      <x:c r="E20" s="28"/>
      <x:c r="F20" s="28"/>
      <x:c r="G20" s="28"/>
      <x:c r="H20" s="28"/>
    </x:row>
    <x:row r="21" ht="30" customHeight="1">
      <x:c r="A21" s="37" t="str">
        <x:v>Own local asset</x:v>
      </x:c>
      <x:c r="B21" s="35" t="str">
        <x:v>A reviewed local asset is already available in public/images.</x:v>
      </x:c>
      <x:c r="C21" s="28"/>
      <x:c r="D21" s="28"/>
      <x:c r="E21" s="28"/>
      <x:c r="F21" s="28"/>
      <x:c r="G21" s="28"/>
      <x:c r="H21" s="28"/>
    </x:row>
    <x:row r="22" ht="30" customHeight="1">
      <x:c r="A22" s="37" t="str">
        <x:v>Original staged — rights recorded</x:v>
      </x:c>
      <x:c r="B22" s="35" t="str">
        <x:v>A source image is staged for review; rights metadata is recorded, but it is not public in the app yet.</x:v>
      </x:c>
      <x:c r="C22" s="28"/>
      <x:c r="D22" s="28"/>
      <x:c r="E22" s="28"/>
      <x:c r="F22" s="28"/>
      <x:c r="G22" s="28"/>
      <x:c r="H22" s="28"/>
    </x:row>
    <x:row r="23" ht="30" customHeight="1">
      <x:c r="A23" s="37" t="str">
        <x:v>Shared fallback</x:v>
      </x:c>
      <x:c r="B23" s="35" t="str">
        <x:v>The UI currently uses another place's image; request a dedicated original.</x:v>
      </x:c>
      <x:c r="C23" s="28"/>
      <x:c r="D23" s="28"/>
      <x:c r="E23" s="28"/>
      <x:c r="F23" s="28"/>
      <x:c r="G23" s="28"/>
      <x:c r="H23" s="28"/>
    </x:row>
    <x:row r="24" ht="30" customHeight="1">
      <x:c r="A24" s="37" t="str">
        <x:v>Missing original</x:v>
      </x:c>
      <x:c r="B24" s="35" t="str">
        <x:v>No image is available yet; upload one using requested_filename.</x:v>
      </x:c>
      <x:c r="C24" s="28"/>
      <x:c r="D24" s="28"/>
      <x:c r="E24" s="28"/>
      <x:c r="F24" s="28"/>
      <x:c r="G24" s="28"/>
      <x:c r="H24" s="28"/>
    </x:row>
    <x:row r="25" ht="30" customHeight="1">
      <x:c r="A25" s="19" t="str">
        <x:v>Candidate — not active</x:v>
      </x:c>
      <x:c r="B25" s="25" t="str">
        <x:v>Planned place only; it is not enabled in the Passenger catalog yet.</x:v>
      </x:c>
    </x:row>
    <x:row r="26">
      <x:c r="A26" t="str">
        <x:v>Curated Commons asset</x:v>
      </x:c>
      <x:c r="B26" t="str">
        <x:v>Public WebP is bundled locally with source page, author and license recorded in the inventory.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9" hidden="0" customWidth="1"/>
    <x:col min="3" max="3" width="30" hidden="0" customWidth="1"/>
    <x:col min="4" max="4" width="19" hidden="0" customWidth="1"/>
    <x:col min="5" max="5" width="27" hidden="0" customWidth="1"/>
    <x:col min="6" max="6" width="23" hidden="0" customWidth="1"/>
    <x:col min="7" max="7" width="26" hidden="0" customWidth="1"/>
    <x:col min="8" max="8" width="42" hidden="0" customWidth="1"/>
    <x:col min="9" max="9" width="20" hidden="0" customWidth="1"/>
    <x:col min="10" max="10" width="12" hidden="0" customWidth="1"/>
    <x:col min="11" max="11" width="13" hidden="0" customWidth="1"/>
    <x:col min="12" max="12" width="23" hidden="0" customWidth="1"/>
    <x:col min="13" max="13" width="29" hidden="0" customWidth="1"/>
    <x:col min="14" max="14" width="42" hidden="0" customWidth="1"/>
    <x:col min="15" max="15" width="28" hidden="0" customWidth="1"/>
    <x:col min="16" max="16" width="25" hidden="0" customWidth="1"/>
    <x:col min="17" max="17" width="56" hidden="0" customWidth="1"/>
  </x:cols>
  <x:sheetData>
    <x:row r="1" ht="28" customHeight="1">
      <x:c r="A1" s="68" t="str">
        <x:v>Around You · 100-place image inventory</x:v>
      </x:c>
      <x:c r="B1" s="68"/>
      <x:c r="C1" s="68"/>
      <x:c r="D1" s="68"/>
      <x:c r="E1" s="68"/>
      <x:c r="F1" s="68"/>
      <x:c r="G1" s="68"/>
      <x:c r="H1" s="68"/>
      <x:c r="I1" s="68"/>
      <x:c r="J1" s="68"/>
      <x:c r="K1" s="68"/>
      <x:c r="L1" s="68"/>
      <x:c r="M1" s="68"/>
      <x:c r="N1" s="68"/>
      <x:c r="O1" s="68"/>
      <x:c r="P1" s="68"/>
      <x:c r="Q1" s="68"/>
    </x:row>
    <x:row r="2" ht="28" customHeight="1">
      <x:c r="A2" s="69" t="str">
        <x:v>Active catalog plus future candidates. Image rights and exact filenames must be reviewed before enabling new places.</x:v>
      </x:c>
      <x:c r="B2" s="69"/>
      <x:c r="C2" s="69"/>
      <x:c r="D2" s="69"/>
      <x:c r="E2" s="69"/>
      <x:c r="F2" s="69"/>
      <x:c r="G2" s="69"/>
      <x:c r="H2" s="69"/>
      <x:c r="I2" s="69"/>
      <x:c r="J2" s="69"/>
      <x:c r="K2" s="69"/>
      <x:c r="L2" s="69"/>
      <x:c r="M2" s="69"/>
      <x:c r="N2" s="69"/>
      <x:c r="O2" s="69"/>
      <x:c r="P2" s="69"/>
      <x:c r="Q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  <x:c r="M3" s="70"/>
      <x:c r="N3" s="70"/>
      <x:c r="O3" s="70"/>
      <x:c r="P3" s="70"/>
      <x:c r="Q3" s="70"/>
    </x:row>
    <x:row r="4" ht="38" customHeight="1">
      <x:c r="A4" s="71" t="str">
        <x:v>place_id</x:v>
      </x:c>
      <x:c r="B4" s="71" t="str">
        <x:v>place_en</x:v>
      </x:c>
      <x:c r="C4" s="71" t="str">
        <x:v>place_es</x:v>
      </x:c>
      <x:c r="D4" s="71" t="str">
        <x:v>planned_category</x:v>
      </x:c>
      <x:c r="E4" s="71" t="str">
        <x:v>zone</x:v>
      </x:c>
      <x:c r="F4" s="71" t="str">
        <x:v>app_catalog_status</x:v>
      </x:c>
      <x:c r="G4" s="71" t="str">
        <x:v>requested_filename</x:v>
      </x:c>
      <x:c r="H4" s="71" t="str">
        <x:v>current_app_image</x:v>
      </x:c>
      <x:c r="I4" s="71" t="str">
        <x:v>image_status</x:v>
      </x:c>
      <x:c r="J4" s="71" t="str">
        <x:v>image_needed</x:v>
      </x:c>
      <x:c r="K4" s="71" t="str">
        <x:v>recommended_asset_count</x:v>
      </x:c>
      <x:c r="L4" s="71" t="str">
        <x:v>copy_status</x:v>
      </x:c>
      <x:c r="M4" s="71" t="str">
        <x:v>coordinates_status</x:v>
      </x:c>
      <x:c r="N4" s="71" t="str">
        <x:v>source_url</x:v>
      </x:c>
      <x:c r="O4" s="71" t="str">
        <x:v>source_or_author_to_fill</x:v>
      </x:c>
      <x:c r="P4" s="71" t="str">
        <x:v>license_or_permission</x:v>
      </x:c>
      <x:c r="Q4" s="71" t="str">
        <x:v>notes</x:v>
      </x:c>
    </x:row>
    <x:row r="5" ht="42" customHeight="1">
      <x:c r="A5" s="72" t="str">
        <x:v>salt-lake-valley</x:v>
      </x:c>
      <x:c r="B5" s="72" t="str">
        <x:v>Salt Lake Valley</x:v>
      </x:c>
      <x:c r="C5" s="72" t="str">
        <x:v>Valle de Salt Lake</x:v>
      </x:c>
      <x:c r="D5" s="72" t="str">
        <x:v>city</x:v>
      </x:c>
      <x:c r="E5" s="72" t="str">
        <x:v>Salt Lake corridor</x:v>
      </x:c>
      <x:c r="F5" s="73" t="str">
        <x:v>Active in app</x:v>
      </x:c>
      <x:c r="G5" s="72" t="str">
        <x:v>salt-lake-valley.jpg</x:v>
      </x:c>
      <x:c r="H5" s="72" t="str">
        <x:v>/images/passenger/around-you/user/salt-lake-valley-juan.webp</x:v>
      </x:c>
      <x:c r="I5" s="74" t="str">
        <x:v>Own local asset</x:v>
      </x:c>
      <x:c r="J5" s="75" t="str">
        <x:v>No</x:v>
      </x:c>
      <x:c r="K5" s="72" t="n">
        <x:v>1</x:v>
      </x:c>
      <x:c r="L5" s="72" t="str">
        <x:v>Expanded EN/ES copy ready</x:v>
      </x:c>
      <x:c r="M5" s="72" t="str">
        <x:v>Active coordinates</x:v>
      </x:c>
      <x:c r="N5" s="72"/>
      <x:c r="O5" s="72" t="str">
        <x:v>STREEX-owned original — Juan</x:v>
      </x:c>
      <x:c r="P5" s="72" t="str">
        <x:v>User-owned original; permission confirmed</x:v>
      </x:c>
      <x:c r="Q5" s="72" t="str">
        <x:v>Selected from IMG_3418.jpeg; user-owned original optimized to local WebP with metadata stripped.</x:v>
      </x:c>
    </x:row>
    <x:row r="6" ht="42" customHeight="1">
      <x:c r="A6" s="76" t="str">
        <x:v>wasatch-back</x:v>
      </x:c>
      <x:c r="B6" s="76" t="str">
        <x:v>The Wasatch Back</x:v>
      </x:c>
      <x:c r="C6" s="76" t="str">
        <x:v>El Wasatch Back</x:v>
      </x:c>
      <x:c r="D6" s="76" t="str">
        <x:v>mountain</x:v>
      </x:c>
      <x:c r="E6" s="76" t="str">
        <x:v>Salt Lake corridor</x:v>
      </x:c>
      <x:c r="F6" s="73" t="str">
        <x:v>Active in app</x:v>
      </x:c>
      <x:c r="G6" s="76" t="str">
        <x:v>wasatch-back.jpg</x:v>
      </x:c>
      <x:c r="H6" s="76" t="str">
        <x:v>/images/passenger/around-you/user/wasatch-back-juan.webp</x:v>
      </x:c>
      <x:c r="I6" s="74" t="str">
        <x:v>Own local asset</x:v>
      </x:c>
      <x:c r="J6" s="75" t="str">
        <x:v>No</x:v>
      </x:c>
      <x:c r="K6" s="76" t="n">
        <x:v>1</x:v>
      </x:c>
      <x:c r="L6" s="76" t="str">
        <x:v>Expanded EN/ES copy ready</x:v>
      </x:c>
      <x:c r="M6" s="76" t="str">
        <x:v>Active coordinates</x:v>
      </x:c>
      <x:c r="N6" s="76"/>
      <x:c r="O6" s="76" t="str">
        <x:v>STREEX-owned original — Juan</x:v>
      </x:c>
      <x:c r="P6" s="76" t="str">
        <x:v>User-owned original; permission confirmed</x:v>
      </x:c>
      <x:c r="Q6" s="76" t="str">
        <x:v>Selected from IMG_0338.jpeg; user-owned original optimized to local WebP with metadata stripped.</x:v>
      </x:c>
    </x:row>
    <x:row r="7" ht="42" customHeight="1">
      <x:c r="A7" s="72" t="str">
        <x:v>downtown-salt-lake-city</x:v>
      </x:c>
      <x:c r="B7" s="72" t="str">
        <x:v>Downtown Salt Lake City</x:v>
      </x:c>
      <x:c r="C7" s="72" t="str">
        <x:v>Centro de Salt Lake City</x:v>
      </x:c>
      <x:c r="D7" s="72" t="str">
        <x:v>city</x:v>
      </x:c>
      <x:c r="E7" s="72" t="str">
        <x:v>Salt Lake corridor</x:v>
      </x:c>
      <x:c r="F7" s="73" t="str">
        <x:v>Active in app</x:v>
      </x:c>
      <x:c r="G7" s="72" t="str">
        <x:v>downtown-salt-lake-city.jpg</x:v>
      </x:c>
      <x:c r="H7" s="72" t="str">
        <x:v>/images/passenger/around-you/user/downtown-salt-lake-city-juan.webp</x:v>
      </x:c>
      <x:c r="I7" s="74" t="str">
        <x:v>Own local asset</x:v>
      </x:c>
      <x:c r="J7" s="75" t="str">
        <x:v>No</x:v>
      </x:c>
      <x:c r="K7" s="72" t="n">
        <x:v>1</x:v>
      </x:c>
      <x:c r="L7" s="72" t="str">
        <x:v>Expanded EN/ES copy ready</x:v>
      </x:c>
      <x:c r="M7" s="72" t="str">
        <x:v>Active coordinates</x:v>
      </x:c>
      <x:c r="N7" s="72"/>
      <x:c r="O7" s="72" t="str">
        <x:v>STREEX-owned original — Juan</x:v>
      </x:c>
      <x:c r="P7" s="72" t="str">
        <x:v>User-owned original; permission confirmed</x:v>
      </x:c>
      <x:c r="Q7" s="72" t="str">
        <x:v>Selected from IMG_0659.jpeg; user-owned original optimized to local WebP with metadata stripped.</x:v>
      </x:c>
    </x:row>
    <x:row r="8" ht="42" customHeight="1">
      <x:c r="A8" s="76" t="str">
        <x:v>utah-state-capitol</x:v>
      </x:c>
      <x:c r="B8" s="76" t="str">
        <x:v>Utah State Capitol</x:v>
      </x:c>
      <x:c r="C8" s="76" t="str">
        <x:v>Capitolio del Estado de Utah</x:v>
      </x:c>
      <x:c r="D8" s="76" t="str">
        <x:v>history</x:v>
      </x:c>
      <x:c r="E8" s="76" t="str">
        <x:v>Salt Lake corridor</x:v>
      </x:c>
      <x:c r="F8" s="73" t="str">
        <x:v>Active in app</x:v>
      </x:c>
      <x:c r="G8" s="76" t="str">
        <x:v>utah-state-capitol.jpg</x:v>
      </x:c>
      <x:c r="H8" s="76" t="str">
        <x:v>/images/passenger/around-you/user/utah-state-capitol-juan.webp</x:v>
      </x:c>
      <x:c r="I8" s="74" t="str">
        <x:v>Own local asset</x:v>
      </x:c>
      <x:c r="J8" s="75" t="str">
        <x:v>No</x:v>
      </x:c>
      <x:c r="K8" s="76" t="n">
        <x:v>1</x:v>
      </x:c>
      <x:c r="L8" s="76" t="str">
        <x:v>Expanded EN/ES copy ready</x:v>
      </x:c>
      <x:c r="M8" s="76" t="str">
        <x:v>Active coordinates</x:v>
      </x:c>
      <x:c r="N8" s="76" t="str"/>
      <x:c r="O8" s="76" t="str">
        <x:v>STREEX-owned original — Juan</x:v>
      </x:c>
      <x:c r="P8" s="76" t="str">
        <x:v>User-owned original; permission confirmed</x:v>
      </x:c>
      <x:c r="Q8" s="76" t="str">
        <x:v>Selected from renamed utah-state-capitol-night-gardens.jpeg; user-owned hero showing the Capitol grounds and dome, optimized to local WebP with metadata stripped.</x:v>
      </x:c>
    </x:row>
    <x:row r="9" ht="42" customHeight="1">
      <x:c r="A9" s="72" t="str">
        <x:v>temple-square</x:v>
      </x:c>
      <x:c r="B9" s="72" t="str">
        <x:v>Temple Square</x:v>
      </x:c>
      <x:c r="C9" s="72" t="str">
        <x:v>Temple Square</x:v>
      </x:c>
      <x:c r="D9" s="72" t="str">
        <x:v>culture</x:v>
      </x:c>
      <x:c r="E9" s="72" t="str">
        <x:v>Salt Lake corridor</x:v>
      </x:c>
      <x:c r="F9" s="73" t="str">
        <x:v>Active in app</x:v>
      </x:c>
      <x:c r="G9" s="72" t="str">
        <x:v>temple-square.jpg</x:v>
      </x:c>
      <x:c r="H9" s="72" t="str">
        <x:v>/images/passenger/around-you/user/temple-square-juan.webp</x:v>
      </x:c>
      <x:c r="I9" s="74" t="str">
        <x:v>Own local asset</x:v>
      </x:c>
      <x:c r="J9" s="75" t="str">
        <x:v>No</x:v>
      </x:c>
      <x:c r="K9" s="72" t="n">
        <x:v>1</x:v>
      </x:c>
      <x:c r="L9" s="72" t="str">
        <x:v>Expanded EN/ES copy ready</x:v>
      </x:c>
      <x:c r="M9" s="72" t="str">
        <x:v>Active coordinates</x:v>
      </x:c>
      <x:c r="N9" s="72" t="str"/>
      <x:c r="O9" s="72" t="str">
        <x:v>STREEX-owned original — Juan</x:v>
      </x:c>
      <x:c r="P9" s="72" t="str">
        <x:v>User-owned original; permission confirmed</x:v>
      </x:c>
      <x:c r="Q9" s="72" t="str">
        <x:v>Selected from renamed temple-square-night.jpeg; user-owned hero showing Temple Square architecture, optimized to local WebP with metadata stripped.</x:v>
      </x:c>
    </x:row>
    <x:row r="10" ht="42" customHeight="1">
      <x:c r="A10" s="76" t="str">
        <x:v>city-creek-canyon</x:v>
      </x:c>
      <x:c r="B10" s="76" t="str">
        <x:v>City Creek Canyon</x:v>
      </x:c>
      <x:c r="C10" s="76" t="str">
        <x:v>Cañón City Creek</x:v>
      </x:c>
      <x:c r="D10" s="76" t="str">
        <x:v>nature</x:v>
      </x:c>
      <x:c r="E10" s="76" t="str">
        <x:v>Salt Lake corridor</x:v>
      </x:c>
      <x:c r="F10" s="73" t="str">
        <x:v>Active in app</x:v>
      </x:c>
      <x:c r="G10" s="76" t="str">
        <x:v>city-creek-canyon.jpg</x:v>
      </x:c>
      <x:c r="H10" s="76" t="str">
        <x:v>/images/passenger/around-you/user/city-creek-canyon-juan.webp</x:v>
      </x:c>
      <x:c r="I10" s="74" t="str">
        <x:v>Own local asset</x:v>
      </x:c>
      <x:c r="J10" s="75" t="str">
        <x:v>No</x:v>
      </x:c>
      <x:c r="K10" s="76" t="n">
        <x:v>1</x:v>
      </x:c>
      <x:c r="L10" s="76" t="str">
        <x:v>Expanded EN/ES copy ready</x:v>
      </x:c>
      <x:c r="M10" s="76" t="str">
        <x:v>Active coordinates</x:v>
      </x:c>
      <x:c r="N10" s="76"/>
      <x:c r="O10" s="76" t="str">
        <x:v>STREEX-owned original — Juan</x:v>
      </x:c>
      <x:c r="P10" s="76" t="str">
        <x:v>User-owned original; permission confirmed</x:v>
      </x:c>
      <x:c r="Q10" s="76" t="str">
        <x:v>Selected from IMG_0976.jpeg; user-owned original optimized to local WebP with metadata stripped.</x:v>
      </x:c>
    </x:row>
    <x:row r="11" ht="42" customHeight="1">
      <x:c r="A11" s="72" t="str">
        <x:v>liberty-park</x:v>
      </x:c>
      <x:c r="B11" s="72" t="str">
        <x:v>Liberty Park</x:v>
      </x:c>
      <x:c r="C11" s="72" t="str">
        <x:v>Parque Liberty</x:v>
      </x:c>
      <x:c r="D11" s="72" t="str">
        <x:v>culture</x:v>
      </x:c>
      <x:c r="E11" s="72" t="str">
        <x:v>Salt Lake corridor</x:v>
      </x:c>
      <x:c r="F11" s="73" t="str">
        <x:v>Active in app</x:v>
      </x:c>
      <x:c r="G11" s="72" t="str">
        <x:v>liberty-park.jpg</x:v>
      </x:c>
      <x:c r="H11" s="72" t="str">
        <x:v>/images/passenger/around-you/user/liberty-park-juan.webp</x:v>
      </x:c>
      <x:c r="I11" s="74" t="str">
        <x:v>Own local asset</x:v>
      </x:c>
      <x:c r="J11" s="75" t="str">
        <x:v>No</x:v>
      </x:c>
      <x:c r="K11" s="72" t="n">
        <x:v>1</x:v>
      </x:c>
      <x:c r="L11" s="72" t="str">
        <x:v>Expanded EN/ES copy ready</x:v>
      </x:c>
      <x:c r="M11" s="72" t="str">
        <x:v>Active coordinates</x:v>
      </x:c>
      <x:c r="N11" s="72"/>
      <x:c r="O11" s="72" t="str">
        <x:v>STREEX-owned original — Juan</x:v>
      </x:c>
      <x:c r="P11" s="72" t="str">
        <x:v>User-owned original; permission confirmed</x:v>
      </x:c>
      <x:c r="Q11" s="72" t="str">
        <x:v>Selected from IMG_8789.jpeg; user-owned original optimized to local WebP with metadata stripped.</x:v>
      </x:c>
    </x:row>
    <x:row r="12" ht="42" customHeight="1">
      <x:c r="A12" s="76" t="str">
        <x:v>university-of-utah</x:v>
      </x:c>
      <x:c r="B12" s="76" t="str">
        <x:v>University of Utah</x:v>
      </x:c>
      <x:c r="C12" s="76" t="str">
        <x:v>Universidad de Utah</x:v>
      </x:c>
      <x:c r="D12" s="76" t="str">
        <x:v>university</x:v>
      </x:c>
      <x:c r="E12" s="76" t="str">
        <x:v>Salt Lake corridor</x:v>
      </x:c>
      <x:c r="F12" s="73" t="str">
        <x:v>Active in app</x:v>
      </x:c>
      <x:c r="G12" s="76" t="str">
        <x:v>university-of-utah.jpg</x:v>
      </x:c>
      <x:c r="H12" s="76" t="str">
        <x:v>/images/passenger/around-you/curated/university-of-utah-campus.webp</x:v>
      </x:c>
      <x:c r="I12" s="77" t="str">
        <x:v>Curated Commons asset</x:v>
      </x:c>
      <x:c r="J12" s="75" t="str">
        <x:v>No</x:v>
      </x:c>
      <x:c r="K12" s="76" t="n">
        <x:v>1</x:v>
      </x:c>
      <x:c r="L12" s="76" t="str">
        <x:v>Expanded EN/ES copy ready</x:v>
      </x:c>
      <x:c r="M12" s="76" t="str">
        <x:v>Active coordinates</x:v>
      </x:c>
      <x:c r="N12" s="76" t="str">
        <x:v>https://commons.wikimedia.org/wiki/File:University_of_Utah_Presidents_Circle_.jpg</x:v>
      </x:c>
      <x:c r="O12" s="76" t="str">
        <x:v>Wikimedia Commons — MrSchmidt</x:v>
      </x:c>
      <x:c r="P12" s="76" t="str">
        <x:v>CC BY-SA 4.0 — attribution and share-alike required</x:v>
      </x:c>
      <x:c r="Q12" s="76" t="str">
        <x:v>Curated from utah-presidents-circle.jpg; cropped and optimized to metadata-free WebP with the campus architecture clearly visible.</x:v>
      </x:c>
    </x:row>
    <x:row r="13" ht="42" customHeight="1">
      <x:c r="A13" s="72" t="str">
        <x:v>red-butte-garden</x:v>
      </x:c>
      <x:c r="B13" s="72" t="str">
        <x:v>Red Butte Garden</x:v>
      </x:c>
      <x:c r="C13" s="72" t="str">
        <x:v>Jardín Red Butte</x:v>
      </x:c>
      <x:c r="D13" s="72" t="str">
        <x:v>nature</x:v>
      </x:c>
      <x:c r="E13" s="72" t="str">
        <x:v>Salt Lake corridor</x:v>
      </x:c>
      <x:c r="F13" s="73" t="str">
        <x:v>Active in app</x:v>
      </x:c>
      <x:c r="G13" s="72" t="str">
        <x:v>red-butte-garden.jpg</x:v>
      </x:c>
      <x:c r="H13" s="72" t="str">
        <x:v>/images/passenger/around-you/curated/red-butte-garden.webp</x:v>
      </x:c>
      <x:c r="I13" s="77" t="str">
        <x:v>Curated Commons asset</x:v>
      </x:c>
      <x:c r="J13" s="75" t="str">
        <x:v>No</x:v>
      </x:c>
      <x:c r="K13" s="72" t="n">
        <x:v>1</x:v>
      </x:c>
      <x:c r="L13" s="72" t="str">
        <x:v>Expanded EN/ES copy ready</x:v>
      </x:c>
      <x:c r="M13" s="72" t="str">
        <x:v>Active coordinates</x:v>
      </x:c>
      <x:c r="N13" s="72" t="str">
        <x:v>https://commons.wikimedia.org/wiki/File:Red_Butte_Garden2.jpg</x:v>
      </x:c>
      <x:c r="O13" s="72" t="str">
        <x:v>Wikimedia Commons — C.Maylett</x:v>
      </x:c>
      <x:c r="P13" s="72" t="str">
        <x:v>CC BY-SA 3.0 — attribution and share-alike required</x:v>
      </x:c>
      <x:c r="Q13" s="72" t="str">
        <x:v>Curated garden interior image; optimized to local WebP with metadata stripped.</x:v>
      </x:c>
    </x:row>
    <x:row r="14" ht="42" customHeight="1">
      <x:c r="A14" s="76" t="str">
        <x:v>this-is-the-place</x:v>
      </x:c>
      <x:c r="B14" s="76" t="str">
        <x:v>This Is The Place Heritage Park</x:v>
      </x:c>
      <x:c r="C14" s="76" t="str">
        <x:v>Parque Patrimonial This Is The Place</x:v>
      </x:c>
      <x:c r="D14" s="76" t="str">
        <x:v>history</x:v>
      </x:c>
      <x:c r="E14" s="76" t="str">
        <x:v>Salt Lake corridor</x:v>
      </x:c>
      <x:c r="F14" s="73" t="str">
        <x:v>Active in app</x:v>
      </x:c>
      <x:c r="G14" s="76" t="str">
        <x:v>this-is-the-place.jpg</x:v>
      </x:c>
      <x:c r="H14" s="76"/>
      <x:c r="I14" s="77" t="str">
        <x:v>Original staged — rights recorded</x:v>
      </x:c>
      <x:c r="J14" s="75" t="str">
        <x:v>No</x:v>
      </x:c>
      <x:c r="K14" s="76" t="n">
        <x:v>1</x:v>
      </x:c>
      <x:c r="L14" s="76" t="str">
        <x:v>Expanded EN/ES copy ready</x:v>
      </x:c>
      <x:c r="M14" s="76" t="str">
        <x:v>Active coordinates</x:v>
      </x:c>
      <x:c r="N14" s="76" t="str">
        <x:v>https://commons.wikimedia.org/wiki/File:This_Is_the_Place_Heritage_Park_(7028655691).jpg</x:v>
      </x:c>
      <x:c r="O14" s="76" t="str">
        <x:v>Wikimedia Commons — InSapphoWeTrust from Los Angeles, California, USA</x:v>
      </x:c>
      <x:c r="P14" s="76" t="str">
        <x:v>CC BY-SA 2.0 — attribution and share-alike required</x:v>
      </x:c>
      <x:c r="Q14" s="76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15" ht="42" customHeight="1">
      <x:c r="A15" s="72" t="str">
        <x:v>salt-lake-city-airport</x:v>
      </x:c>
      <x:c r="B15" s="72" t="str">
        <x:v>salt lake city airport</x:v>
      </x:c>
      <x:c r="C15" s="72" t="str">
        <x:v>salt lake city airport</x:v>
      </x:c>
      <x:c r="D15" s="72" t="str">
        <x:v>transportation</x:v>
      </x:c>
      <x:c r="E15" s="72" t="str">
        <x:v>Salt Lake corridor</x:v>
      </x:c>
      <x:c r="F15" s="73" t="str">
        <x:v>Active in app</x:v>
      </x:c>
      <x:c r="G15" s="72" t="str">
        <x:v>salt-lake-city-airport.jpg</x:v>
      </x:c>
      <x:c r="H15" s="72" t="str">
        <x:v>/images/passenger/around-you/curated/salt-lake-city-airport-terminal.webp</x:v>
      </x:c>
      <x:c r="I15" s="77" t="str">
        <x:v>Curated Commons asset</x:v>
      </x:c>
      <x:c r="J15" s="75" t="str">
        <x:v>No</x:v>
      </x:c>
      <x:c r="K15" s="72" t="n">
        <x:v>1</x:v>
      </x:c>
      <x:c r="L15" s="72" t="str">
        <x:v>Expanded EN/ES copy ready</x:v>
      </x:c>
      <x:c r="M15" s="72" t="str">
        <x:v>Active coordinates</x:v>
      </x:c>
      <x:c r="N15" s="72" t="str">
        <x:v>https://commons.wikimedia.org/wiki/File:2015-04-14_00_11_43_View_towards_the_International_Terminal_and_Concourse_D_from_the_inner_end_of_Concourse_C_in_Salt_Lake_City_International_Airport,_Utah.jpg</x:v>
      </x:c>
      <x:c r="O15" s="72" t="str">
        <x:v>Wikimedia Commons — Famartin</x:v>
      </x:c>
      <x:c r="P15" s="72" t="str">
        <x:v>CC BY-SA 4.0 — attribution and share-alike required</x:v>
      </x:c>
      <x:c r="Q15" s="72" t="str">
        <x:v>Curated terminal/interior view rather than an aerial; optimized to local WebP with metadata stripped.</x:v>
      </x:c>
    </x:row>
    <x:row r="16" ht="42" customHeight="1">
      <x:c r="A16" s="76" t="str">
        <x:v>great-salt-lake</x:v>
      </x:c>
      <x:c r="B16" s="76" t="str">
        <x:v>Great Salt Lake</x:v>
      </x:c>
      <x:c r="C16" s="76" t="str">
        <x:v>Gran Lago Salado</x:v>
      </x:c>
      <x:c r="D16" s="76" t="str">
        <x:v>nature</x:v>
      </x:c>
      <x:c r="E16" s="76" t="str">
        <x:v>Salt Lake corridor</x:v>
      </x:c>
      <x:c r="F16" s="73" t="str">
        <x:v>Active in app</x:v>
      </x:c>
      <x:c r="G16" s="76" t="str">
        <x:v>great-salt-lake.jpg</x:v>
      </x:c>
      <x:c r="H16" s="76" t="str">
        <x:v>/images/passenger/around-you/user/great-salt-lake-juan.webp</x:v>
      </x:c>
      <x:c r="I16" s="74" t="str">
        <x:v>Own local asset</x:v>
      </x:c>
      <x:c r="J16" s="75" t="str">
        <x:v>No</x:v>
      </x:c>
      <x:c r="K16" s="76" t="n">
        <x:v>1</x:v>
      </x:c>
      <x:c r="L16" s="76" t="str">
        <x:v>Expanded EN/ES copy ready</x:v>
      </x:c>
      <x:c r="M16" s="76" t="str">
        <x:v>Active coordinates</x:v>
      </x:c>
      <x:c r="N16" s="76"/>
      <x:c r="O16" s="76" t="str">
        <x:v>STREEX-owned original — Juan</x:v>
      </x:c>
      <x:c r="P16" s="76" t="str">
        <x:v>User-owned original; permission confirmed</x:v>
      </x:c>
      <x:c r="Q16" s="76" t="str">
        <x:v>Selected from IMG_6450.jpeg; user-owned original optimized to local WebP with metadata stripped.</x:v>
      </x:c>
    </x:row>
    <x:row r="17" ht="42" customHeight="1">
      <x:c r="A17" s="72" t="str">
        <x:v>parleys-canyon</x:v>
      </x:c>
      <x:c r="B17" s="72" t="str">
        <x:v>Parley's Canyon</x:v>
      </x:c>
      <x:c r="C17" s="72" t="str">
        <x:v>Cañón Parley</x:v>
      </x:c>
      <x:c r="D17" s="72" t="str">
        <x:v>mountain</x:v>
      </x:c>
      <x:c r="E17" s="72" t="str">
        <x:v>Salt Lake corridor</x:v>
      </x:c>
      <x:c r="F17" s="73" t="str">
        <x:v>Active in app</x:v>
      </x:c>
      <x:c r="G17" s="72" t="str">
        <x:v>parleys-canyon.jpg</x:v>
      </x:c>
      <x:c r="H17" s="72"/>
      <x:c r="I17" s="77" t="str">
        <x:v>Original staged — rights recorded</x:v>
      </x:c>
      <x:c r="J17" s="75" t="str">
        <x:v>No</x:v>
      </x:c>
      <x:c r="K17" s="72" t="n">
        <x:v>1</x:v>
      </x:c>
      <x:c r="L17" s="72" t="str">
        <x:v>Expanded EN/ES copy ready</x:v>
      </x:c>
      <x:c r="M17" s="72" t="str">
        <x:v>Active coordinates</x:v>
      </x:c>
      <x:c r="N17" s="72" t="str">
        <x:v>https://commons.wikimedia.org/wiki/File:Parleys_Canyon,_Interstate_80,_Utah.jpg</x:v>
      </x:c>
      <x:c r="O17" s="72" t="str">
        <x:v>Wikimedia Commons — Ken Lund</x:v>
      </x:c>
      <x:c r="P17" s="72" t="str">
        <x:v>CC BY-SA 2.0 — attribution and share-alike required</x:v>
      </x:c>
      <x:c r="Q17" s="72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18" ht="42" customHeight="1">
      <x:c r="A18" s="76" t="str">
        <x:v>lagoon-amusement-park</x:v>
      </x:c>
      <x:c r="B18" s="76" t="str">
        <x:v>Lagoon</x:v>
      </x:c>
      <x:c r="C18" s="76" t="str">
        <x:v>Lagoon</x:v>
      </x:c>
      <x:c r="D18" s="76" t="str">
        <x:v>culture</x:v>
      </x:c>
      <x:c r="E18" s="76" t="str">
        <x:v>Salt Lake corridor</x:v>
      </x:c>
      <x:c r="F18" s="73" t="str">
        <x:v>Active in app</x:v>
      </x:c>
      <x:c r="G18" s="76" t="str">
        <x:v>lagoon-amusement-park.jpg</x:v>
      </x:c>
      <x:c r="H18" s="76" t="str">
        <x:v>/images/passenger/around-you/curated/lagoon-exterior.webp</x:v>
      </x:c>
      <x:c r="I18" s="74" t="str">
        <x:v>Curated Commons asset</x:v>
      </x:c>
      <x:c r="J18" s="75" t="str">
        <x:v>No</x:v>
      </x:c>
      <x:c r="K18" s="76" t="n">
        <x:v>1</x:v>
      </x:c>
      <x:c r="L18" s="76" t="str">
        <x:v>Expanded EN/ES copy ready</x:v>
      </x:c>
      <x:c r="M18" s="76" t="str">
        <x:v>Active coordinates</x:v>
      </x:c>
      <x:c r="N18" s="76" t="str">
        <x:v>https://commons.wikimedia.org/wiki/File:Lagoon_Roller_Coaster_winter.jpeg</x:v>
      </x:c>
      <x:c r="O18" s="76" t="str">
        <x:v>Wikimedia Commons — Ntsimp</x:v>
      </x:c>
      <x:c r="P18" s="76" t="str">
        <x:v>CC0 — no attribution required</x:v>
      </x:c>
      <x:c r="Q18" s="76" t="str">
        <x:v>Curated exterior attraction view; optimized to local WebP with metadata stripped.</x:v>
      </x:c>
    </x:row>
    <x:row r="19" ht="42" customHeight="1">
      <x:c r="A19" s="72" t="str">
        <x:v>ogden</x:v>
      </x:c>
      <x:c r="B19" s="72" t="str">
        <x:v>Ogden</x:v>
      </x:c>
      <x:c r="C19" s="72" t="str">
        <x:v>Ogden</x:v>
      </x:c>
      <x:c r="D19" s="72" t="str">
        <x:v>history</x:v>
      </x:c>
      <x:c r="E19" s="72" t="str">
        <x:v>Salt Lake corridor</x:v>
      </x:c>
      <x:c r="F19" s="73" t="str">
        <x:v>Active in app</x:v>
      </x:c>
      <x:c r="G19" s="72" t="str">
        <x:v>ogden.jpg</x:v>
      </x:c>
      <x:c r="H19" s="72"/>
      <x:c r="I19" s="77" t="str">
        <x:v>Original staged — rights recorded</x:v>
      </x:c>
      <x:c r="J19" s="75" t="str">
        <x:v>No</x:v>
      </x:c>
      <x:c r="K19" s="72" t="n">
        <x:v>1</x:v>
      </x:c>
      <x:c r="L19" s="72" t="str">
        <x:v>Expanded EN/ES copy ready</x:v>
      </x:c>
      <x:c r="M19" s="72" t="str">
        <x:v>Active coordinates</x:v>
      </x:c>
      <x:c r="N19" s="72" t="str">
        <x:v>https://commons.wikimedia.org/wiki/File:Downtown_ogden.jpg</x:v>
      </x:c>
      <x:c r="O19" s="72" t="str">
        <x:v>Wikimedia Commons — Weberstate</x:v>
      </x:c>
      <x:c r="P19" s="72" t="str">
        <x:v>Public domain</x:v>
      </x:c>
      <x:c r="Q19" s="72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20" ht="42" customHeight="1">
      <x:c r="A20" s="76" t="str">
        <x:v>antelope-island</x:v>
      </x:c>
      <x:c r="B20" s="76" t="str">
        <x:v>Antelope Island</x:v>
      </x:c>
      <x:c r="C20" s="76" t="str">
        <x:v>Isla Antelope</x:v>
      </x:c>
      <x:c r="D20" s="76" t="str">
        <x:v>nature</x:v>
      </x:c>
      <x:c r="E20" s="76" t="str">
        <x:v>Salt Lake corridor</x:v>
      </x:c>
      <x:c r="F20" s="73" t="str">
        <x:v>Active in app</x:v>
      </x:c>
      <x:c r="G20" s="76" t="str">
        <x:v>antelope-island.jpg</x:v>
      </x:c>
      <x:c r="H20" s="76" t="str">
        <x:v>/images/passenger/around-you/user/antelope-island-juan.webp</x:v>
      </x:c>
      <x:c r="I20" s="74" t="str">
        <x:v>Own local asset</x:v>
      </x:c>
      <x:c r="J20" s="75" t="str">
        <x:v>No</x:v>
      </x:c>
      <x:c r="K20" s="76" t="n">
        <x:v>1</x:v>
      </x:c>
      <x:c r="L20" s="76" t="str">
        <x:v>Expanded EN/ES copy ready</x:v>
      </x:c>
      <x:c r="M20" s="76" t="str">
        <x:v>Active coordinates</x:v>
      </x:c>
      <x:c r="N20" s="76"/>
      <x:c r="O20" s="76" t="str">
        <x:v>STREEX-owned original — Juan</x:v>
      </x:c>
      <x:c r="P20" s="76" t="str">
        <x:v>User-owned original; permission confirmed</x:v>
      </x:c>
      <x:c r="Q20" s="76" t="str">
        <x:v>Selected from IMG_6483.jpeg; user-owned original optimized to local WebP with metadata stripped.</x:v>
      </x:c>
    </x:row>
    <x:row r="21" ht="42" customHeight="1">
      <x:c r="A21" s="72" t="str">
        <x:v>park-city</x:v>
      </x:c>
      <x:c r="B21" s="72" t="str">
        <x:v>Park City</x:v>
      </x:c>
      <x:c r="C21" s="72" t="str">
        <x:v>Park City</x:v>
      </x:c>
      <x:c r="D21" s="72" t="str">
        <x:v>city</x:v>
      </x:c>
      <x:c r="E21" s="72" t="str">
        <x:v>Park City / Wasatch Back</x:v>
      </x:c>
      <x:c r="F21" s="73" t="str">
        <x:v>Active in app</x:v>
      </x:c>
      <x:c r="G21" s="72" t="str">
        <x:v>park-city.jpg</x:v>
      </x:c>
      <x:c r="H21" s="72" t="str">
        <x:v>/images/passenger/around-you/user/park-city-juan.webp</x:v>
      </x:c>
      <x:c r="I21" s="74" t="str">
        <x:v>Own local asset</x:v>
      </x:c>
      <x:c r="J21" s="75" t="str">
        <x:v>No</x:v>
      </x:c>
      <x:c r="K21" s="72" t="n">
        <x:v>1</x:v>
      </x:c>
      <x:c r="L21" s="72" t="str">
        <x:v>Expanded EN/ES copy ready</x:v>
      </x:c>
      <x:c r="M21" s="72" t="str">
        <x:v>Active coordinates</x:v>
      </x:c>
      <x:c r="N21" s="72"/>
      <x:c r="O21" s="72" t="str">
        <x:v>STREEX-owned original — Juan</x:v>
      </x:c>
      <x:c r="P21" s="72" t="str">
        <x:v>User-owned original; permission confirmed</x:v>
      </x:c>
      <x:c r="Q21" s="72" t="str">
        <x:v>Selected from IMG_4516.JPG; user-owned original optimized to local WebP with metadata stripped.</x:v>
      </x:c>
    </x:row>
    <x:row r="22" ht="42" customHeight="1">
      <x:c r="A22" s="76" t="str">
        <x:v>historic-main-street</x:v>
      </x:c>
      <x:c r="B22" s="76" t="str">
        <x:v>Historic Main Street</x:v>
      </x:c>
      <x:c r="C22" s="76" t="str">
        <x:v>Historic Main Street</x:v>
      </x:c>
      <x:c r="D22" s="76" t="str">
        <x:v>culture</x:v>
      </x:c>
      <x:c r="E22" s="76" t="str">
        <x:v>Salt Lake corridor</x:v>
      </x:c>
      <x:c r="F22" s="73" t="str">
        <x:v>Active in app</x:v>
      </x:c>
      <x:c r="G22" s="76" t="str">
        <x:v>historic-main-street.jpg</x:v>
      </x:c>
      <x:c r="H22" s="76" t="str">
        <x:v>/images/passenger/around-you/user/historic-main-street-juan.webp</x:v>
      </x:c>
      <x:c r="I22" s="74" t="str">
        <x:v>Own local asset</x:v>
      </x:c>
      <x:c r="J22" s="75" t="str">
        <x:v>No</x:v>
      </x:c>
      <x:c r="K22" s="76" t="n">
        <x:v>1</x:v>
      </x:c>
      <x:c r="L22" s="76" t="str">
        <x:v>Expanded EN/ES copy ready</x:v>
      </x:c>
      <x:c r="M22" s="76" t="str">
        <x:v>Active coordinates</x:v>
      </x:c>
      <x:c r="N22" s="76"/>
      <x:c r="O22" s="76" t="str">
        <x:v>STREEX-owned original — Juan</x:v>
      </x:c>
      <x:c r="P22" s="76" t="str">
        <x:v>User-owned original; permission confirmed</x:v>
      </x:c>
      <x:c r="Q22" s="76" t="str">
        <x:v>Selected from IMG_8782.jpeg; user-owned original optimized to local WebP with metadata stripped.</x:v>
      </x:c>
    </x:row>
    <x:row r="23" ht="42" customHeight="1">
      <x:c r="A23" s="72" t="str">
        <x:v>utah-olympic-park</x:v>
      </x:c>
      <x:c r="B23" s="72" t="str">
        <x:v>Utah Olympic Park</x:v>
      </x:c>
      <x:c r="C23" s="72" t="str">
        <x:v>Parque Olímpico de Utah</x:v>
      </x:c>
      <x:c r="D23" s="72" t="str">
        <x:v>sports</x:v>
      </x:c>
      <x:c r="E23" s="72" t="str">
        <x:v>Salt Lake corridor</x:v>
      </x:c>
      <x:c r="F23" s="73" t="str">
        <x:v>Active in app</x:v>
      </x:c>
      <x:c r="G23" s="72" t="str">
        <x:v>utah-olympic-park.jpg</x:v>
      </x:c>
      <x:c r="H23" s="72" t="str">
        <x:v>/images/passenger/around-you/user/utah-olympic-park-juan.webp</x:v>
      </x:c>
      <x:c r="I23" s="74" t="str">
        <x:v>Own local asset</x:v>
      </x:c>
      <x:c r="J23" s="75" t="str">
        <x:v>No</x:v>
      </x:c>
      <x:c r="K23" s="72" t="n">
        <x:v>1</x:v>
      </x:c>
      <x:c r="L23" s="72" t="str">
        <x:v>Expanded EN/ES copy ready</x:v>
      </x:c>
      <x:c r="M23" s="72" t="str">
        <x:v>Active coordinates</x:v>
      </x:c>
      <x:c r="N23" s="72"/>
      <x:c r="O23" s="72" t="str">
        <x:v>STREEX-owned original — Juan</x:v>
      </x:c>
      <x:c r="P23" s="72" t="str">
        <x:v>User-owned original; permission confirmed</x:v>
      </x:c>
      <x:c r="Q23" s="72" t="str">
        <x:v>Selected from IMG_1099.JPG; user-owned original optimized to local WebP with metadata stripped.</x:v>
      </x:c>
    </x:row>
    <x:row r="24" ht="42" customHeight="1">
      <x:c r="A24" s="76" t="str">
        <x:v>kimball-junction</x:v>
      </x:c>
      <x:c r="B24" s="76" t="str">
        <x:v>Kimball Junction</x:v>
      </x:c>
      <x:c r="C24" s="76" t="str">
        <x:v>Kimball Junction</x:v>
      </x:c>
      <x:c r="D24" s="76" t="str">
        <x:v>culture</x:v>
      </x:c>
      <x:c r="E24" s="76" t="str">
        <x:v>Park City / Wasatch Back</x:v>
      </x:c>
      <x:c r="F24" s="73" t="str">
        <x:v>Active in app</x:v>
      </x:c>
      <x:c r="G24" s="76" t="str">
        <x:v>kimball-junction.jpg</x:v>
      </x:c>
      <x:c r="H24" s="76" t="str">
        <x:v>/images/passenger/around-you/curated/kimball-junction-sunset.webp</x:v>
      </x:c>
      <x:c r="I24" s="74" t="str">
        <x:v>Curated Commons asset</x:v>
      </x:c>
      <x:c r="J24" s="75" t="str">
        <x:v>No</x:v>
      </x:c>
      <x:c r="K24" s="76" t="n">
        <x:v>1</x:v>
      </x:c>
      <x:c r="L24" s="76" t="str">
        <x:v>Expanded EN/ES copy ready</x:v>
      </x:c>
      <x:c r="M24" s="76" t="str">
        <x:v>Active coordinates</x:v>
      </x:c>
      <x:c r="N24" s="76" t="str">
        <x:v>https://commons.wikimedia.org/wiki/File:Kimball_Junction,_United_States_(Unsplash).jpg</x:v>
      </x:c>
      <x:c r="O24" s="76" t="str">
        <x:v>Wikimedia Commons — Patrick Hendry</x:v>
      </x:c>
      <x:c r="P24" s="76" t="str">
        <x:v>CC0 — no attribution required</x:v>
      </x:c>
      <x:c r="Q24" s="76" t="str">
        <x:v>Curated sunset view for the Kimball Junction corridor; optimized to local WebP with metadata stripped.</x:v>
      </x:c>
    </x:row>
    <x:row r="25" ht="42" customHeight="1">
      <x:c r="A25" s="72" t="str">
        <x:v>deer-valley</x:v>
      </x:c>
      <x:c r="B25" s="72" t="str">
        <x:v>Deer Valley</x:v>
      </x:c>
      <x:c r="C25" s="72" t="str">
        <x:v>Deer Valley</x:v>
      </x:c>
      <x:c r="D25" s="72" t="str">
        <x:v>mountain</x:v>
      </x:c>
      <x:c r="E25" s="72" t="str">
        <x:v>Park City / Wasatch Back</x:v>
      </x:c>
      <x:c r="F25" s="73" t="str">
        <x:v>Active in app</x:v>
      </x:c>
      <x:c r="G25" s="72" t="str">
        <x:v>deer-valley.jpg</x:v>
      </x:c>
      <x:c r="H25" s="72" t="str">
        <x:v>/images/passenger/around-you/user/deer-valley-juan.webp</x:v>
      </x:c>
      <x:c r="I25" s="74" t="str">
        <x:v>Own local asset</x:v>
      </x:c>
      <x:c r="J25" s="75" t="str">
        <x:v>No</x:v>
      </x:c>
      <x:c r="K25" s="72" t="n">
        <x:v>1</x:v>
      </x:c>
      <x:c r="L25" s="72" t="str">
        <x:v>Expanded EN/ES copy ready</x:v>
      </x:c>
      <x:c r="M25" s="72" t="str">
        <x:v>Active coordinates</x:v>
      </x:c>
      <x:c r="N25" s="72"/>
      <x:c r="O25" s="72" t="str">
        <x:v>STREEX-owned original — Juan</x:v>
      </x:c>
      <x:c r="P25" s="72" t="str">
        <x:v>User-owned original; permission confirmed</x:v>
      </x:c>
      <x:c r="Q25" s="72" t="str">
        <x:v>Selected from IMG_0967.jpeg; user-owned original optimized to local WebP with metadata stripped.</x:v>
      </x:c>
    </x:row>
    <x:row r="26" ht="42" customHeight="1">
      <x:c r="A26" s="76" t="str">
        <x:v>natural-history-museum-utah</x:v>
      </x:c>
      <x:c r="B26" s="76" t="str">
        <x:v>Natural History Museum of Utah</x:v>
      </x:c>
      <x:c r="C26" s="76" t="str">
        <x:v>Museo de Historia Natural de Utah</x:v>
      </x:c>
      <x:c r="D26" s="76" t="str">
        <x:v>culture</x:v>
      </x:c>
      <x:c r="E26" s="76" t="str">
        <x:v>Salt Lake corridor</x:v>
      </x:c>
      <x:c r="F26" s="73" t="str">
        <x:v>Active in app</x:v>
      </x:c>
      <x:c r="G26" s="76" t="str">
        <x:v>natural-history-museum-utah.jpg</x:v>
      </x:c>
      <x:c r="H26" s="76" t="str">
        <x:v>/images/passenger/around-you/salt-lake-valley.webp</x:v>
      </x:c>
      <x:c r="I26" s="78" t="str">
        <x:v>Shared fallback</x:v>
      </x:c>
      <x:c r="J26" s="79" t="str">
        <x:v>Yes</x:v>
      </x:c>
      <x:c r="K26" s="76" t="n">
        <x:v>1</x:v>
      </x:c>
      <x:c r="L26" s="76" t="str">
        <x:v>Add expanded copy after image review</x:v>
      </x:c>
      <x:c r="M26" s="76" t="str">
        <x:v>Active coordinates</x:v>
      </x:c>
      <x:c r="N26" s="76" t="str">
        <x:v>https://nhmu.utah.edu/</x:v>
      </x:c>
      <x:c r="O26" s="76"/>
      <x:c r="P26" s="76"/>
      <x:c r="Q26" s="76" t="str">
        <x:v>Keep one landscape hero image; aim for a 16:9-ish crop, landmark clearly visible, no text overlays or identifiable people as the main subject.</x:v>
      </x:c>
    </x:row>
    <x:row r="27" ht="42" customHeight="1">
      <x:c r="A27" s="72" t="str">
        <x:v>ensign-peak</x:v>
      </x:c>
      <x:c r="B27" s="72" t="str">
        <x:v>Ensign Peak</x:v>
      </x:c>
      <x:c r="C27" s="72" t="str">
        <x:v>Ensign Peak</x:v>
      </x:c>
      <x:c r="D27" s="72" t="str">
        <x:v>viewpoint</x:v>
      </x:c>
      <x:c r="E27" s="72" t="str">
        <x:v>Salt Lake corridor</x:v>
      </x:c>
      <x:c r="F27" s="73" t="str">
        <x:v>Active in app</x:v>
      </x:c>
      <x:c r="G27" s="72" t="str">
        <x:v>ensign-peak.jpg</x:v>
      </x:c>
      <x:c r="H27" s="72" t="str">
        <x:v>/images/passenger/around-you/salt-lake-valley.webp</x:v>
      </x:c>
      <x:c r="I27" s="78" t="str">
        <x:v>Shared fallback</x:v>
      </x:c>
      <x:c r="J27" s="79" t="str">
        <x:v>Yes</x:v>
      </x:c>
      <x:c r="K27" s="72" t="n">
        <x:v>1</x:v>
      </x:c>
      <x:c r="L27" s="72" t="str">
        <x:v>Add expanded copy after image review</x:v>
      </x:c>
      <x:c r="M27" s="72" t="str">
        <x:v>Active coordinates</x:v>
      </x:c>
      <x:c r="N27" s="72" t="str">
        <x:v>https://www.slc.gov/parks/parks-division/ensign-peak-nature-park/</x:v>
      </x:c>
      <x:c r="O27" s="72"/>
      <x:c r="P27" s="72"/>
      <x:c r="Q27" s="72" t="str">
        <x:v>Keep one landscape hero image; aim for a 16:9-ish crop, landmark clearly visible, no text overlays or identifiable people as the main subject.</x:v>
      </x:c>
    </x:row>
    <x:row r="28" ht="42" customHeight="1">
      <x:c r="A28" s="76" t="str">
        <x:v>tracy-aviary</x:v>
      </x:c>
      <x:c r="B28" s="76" t="str">
        <x:v>Tracy Aviary</x:v>
      </x:c>
      <x:c r="C28" s="76" t="str">
        <x:v>Aviario Tracy</x:v>
      </x:c>
      <x:c r="D28" s="76" t="str">
        <x:v>nature</x:v>
      </x:c>
      <x:c r="E28" s="76" t="str">
        <x:v>Salt Lake corridor</x:v>
      </x:c>
      <x:c r="F28" s="73" t="str">
        <x:v>Active in app</x:v>
      </x:c>
      <x:c r="G28" s="76" t="str">
        <x:v>tracy-aviary.jpg</x:v>
      </x:c>
      <x:c r="H28" s="76" t="str">
        <x:v>/images/passenger/around-you/salt-lake-valley.webp</x:v>
      </x:c>
      <x:c r="I28" s="78" t="str">
        <x:v>Shared fallback</x:v>
      </x:c>
      <x:c r="J28" s="79" t="str">
        <x:v>Yes</x:v>
      </x:c>
      <x:c r="K28" s="76" t="n">
        <x:v>1</x:v>
      </x:c>
      <x:c r="L28" s="76" t="str">
        <x:v>Add expanded copy after image review</x:v>
      </x:c>
      <x:c r="M28" s="76" t="str">
        <x:v>Active coordinates</x:v>
      </x:c>
      <x:c r="N28" s="76" t="str">
        <x:v>https://tracyaviary.org/</x:v>
      </x:c>
      <x:c r="O28" s="76"/>
      <x:c r="P28" s="76"/>
      <x:c r="Q28" s="76" t="str">
        <x:v>Keep one landscape hero image; aim for a 16:9-ish crop, landmark clearly visible, no text overlays or identifiable people as the main subject.</x:v>
      </x:c>
    </x:row>
    <x:row r="29" ht="42" customHeight="1">
      <x:c r="A29" s="72" t="str">
        <x:v>hogle-zoo</x:v>
      </x:c>
      <x:c r="B29" s="72" t="str">
        <x:v>Utah's Hogle Zoo</x:v>
      </x:c>
      <x:c r="C29" s="72" t="str">
        <x:v>Zoológico Hogle de Utah</x:v>
      </x:c>
      <x:c r="D29" s="72" t="str">
        <x:v>nature</x:v>
      </x:c>
      <x:c r="E29" s="72" t="str">
        <x:v>Salt Lake corridor</x:v>
      </x:c>
      <x:c r="F29" s="73" t="str">
        <x:v>Active in app</x:v>
      </x:c>
      <x:c r="G29" s="72" t="str">
        <x:v>hogle-zoo.jpg</x:v>
      </x:c>
      <x:c r="H29" s="72" t="str">
        <x:v>/images/passenger/around-you/salt-lake-valley.webp</x:v>
      </x:c>
      <x:c r="I29" s="78" t="str">
        <x:v>Shared fallback</x:v>
      </x:c>
      <x:c r="J29" s="79" t="str">
        <x:v>Yes</x:v>
      </x:c>
      <x:c r="K29" s="72" t="n">
        <x:v>1</x:v>
      </x:c>
      <x:c r="L29" s="72" t="str">
        <x:v>Add expanded copy after image review</x:v>
      </x:c>
      <x:c r="M29" s="72" t="str">
        <x:v>Active coordinates</x:v>
      </x:c>
      <x:c r="N29" s="72" t="str">
        <x:v>https://www.hoglezoo.org/</x:v>
      </x:c>
      <x:c r="O29" s="72"/>
      <x:c r="P29" s="72"/>
      <x:c r="Q29" s="72" t="str">
        <x:v>Keep one landscape hero image; aim for a 16:9-ish crop, landmark clearly visible, no text overlays or identifiable people as the main subject.</x:v>
      </x:c>
    </x:row>
    <x:row r="30" ht="42" customHeight="1">
      <x:c r="A30" s="76" t="str">
        <x:v>the-gateway</x:v>
      </x:c>
      <x:c r="B30" s="76" t="str">
        <x:v>The Gateway</x:v>
      </x:c>
      <x:c r="C30" s="76" t="str">
        <x:v>The Gateway</x:v>
      </x:c>
      <x:c r="D30" s="76" t="str">
        <x:v>culture</x:v>
      </x:c>
      <x:c r="E30" s="76" t="str">
        <x:v>Salt Lake corridor</x:v>
      </x:c>
      <x:c r="F30" s="73" t="str">
        <x:v>Active in app</x:v>
      </x:c>
      <x:c r="G30" s="76" t="str">
        <x:v>the-gateway.jpg</x:v>
      </x:c>
      <x:c r="H30" s="76" t="str">
        <x:v>/images/passenger/around-you/user/the-gateway-juan.webp</x:v>
      </x:c>
      <x:c r="I30" s="74" t="str">
        <x:v>Own local asset</x:v>
      </x:c>
      <x:c r="J30" s="75" t="str">
        <x:v>No</x:v>
      </x:c>
      <x:c r="K30" s="76" t="n">
        <x:v>1</x:v>
      </x:c>
      <x:c r="L30" s="76" t="str">
        <x:v>Add expanded copy after image review</x:v>
      </x:c>
      <x:c r="M30" s="76" t="str">
        <x:v>Active coordinates</x:v>
      </x:c>
      <x:c r="N30" s="76"/>
      <x:c r="O30" s="76" t="str">
        <x:v>STREEX-owned original — Juan</x:v>
      </x:c>
      <x:c r="P30" s="76" t="str">
        <x:v>User-owned original; permission confirmed</x:v>
      </x:c>
      <x:c r="Q30" s="76" t="str">
        <x:v>Selected from IMG_1412.jpeg; user-owned original optimized to local WebP with metadata stripped.</x:v>
      </x:c>
    </x:row>
    <x:row r="31" ht="42" customHeight="1">
      <x:c r="A31" s="72" t="str">
        <x:v>gilgal-sculpture-garden</x:v>
      </x:c>
      <x:c r="B31" s="72" t="str">
        <x:v>Gilgal Sculpture Garden</x:v>
      </x:c>
      <x:c r="C31" s="72" t="str">
        <x:v>Jardín de Esculturas Gilgal</x:v>
      </x:c>
      <x:c r="D31" s="72" t="str">
        <x:v>culture</x:v>
      </x:c>
      <x:c r="E31" s="72" t="str">
        <x:v>Salt Lake corridor</x:v>
      </x:c>
      <x:c r="F31" s="73" t="str">
        <x:v>Active in app</x:v>
      </x:c>
      <x:c r="G31" s="72" t="str">
        <x:v>gilgal-sculpture-garden.jpg</x:v>
      </x:c>
      <x:c r="H31" s="72" t="str">
        <x:v>/images/passenger/around-you/salt-lake-valley.webp</x:v>
      </x:c>
      <x:c r="I31" s="78" t="str">
        <x:v>Shared fallback</x:v>
      </x:c>
      <x:c r="J31" s="79" t="str">
        <x:v>Yes</x:v>
      </x:c>
      <x:c r="K31" s="72" t="n">
        <x:v>1</x:v>
      </x:c>
      <x:c r="L31" s="72" t="str">
        <x:v>Add expanded copy after image review</x:v>
      </x:c>
      <x:c r="M31" s="72" t="str">
        <x:v>Active coordinates</x:v>
      </x:c>
      <x:c r="N31" s="72" t="str">
        <x:v>https://www.slc.gov/parks/parks-division/gilgal-sculpture-garden/</x:v>
      </x:c>
      <x:c r="O31" s="72"/>
      <x:c r="P31" s="72"/>
      <x:c r="Q31" s="72" t="str">
        <x:v>Keep one landscape hero image; aim for a 16:9-ish crop, landmark clearly visible, no text overlays or identifiable people as the main subject.</x:v>
      </x:c>
    </x:row>
    <x:row r="32" ht="42" customHeight="1">
      <x:c r="A32" s="76" t="str">
        <x:v>swaner-preserve</x:v>
      </x:c>
      <x:c r="B32" s="76" t="str">
        <x:v>Swaner Preserve</x:v>
      </x:c>
      <x:c r="C32" s="76" t="str">
        <x:v>Reserva Swaner</x:v>
      </x:c>
      <x:c r="D32" s="76" t="str">
        <x:v>nature</x:v>
      </x:c>
      <x:c r="E32" s="76" t="str">
        <x:v>Salt Lake corridor</x:v>
      </x:c>
      <x:c r="F32" s="73" t="str">
        <x:v>Active in app</x:v>
      </x:c>
      <x:c r="G32" s="76" t="str">
        <x:v>swaner-preserve.jpg</x:v>
      </x:c>
      <x:c r="H32" s="76" t="str">
        <x:v>/images/passenger/around-you/user/swaner-preserve-juan.webp</x:v>
      </x:c>
      <x:c r="I32" s="74" t="str">
        <x:v>Own local asset</x:v>
      </x:c>
      <x:c r="J32" s="75" t="str">
        <x:v>No</x:v>
      </x:c>
      <x:c r="K32" s="76" t="n">
        <x:v>1</x:v>
      </x:c>
      <x:c r="L32" s="76" t="str">
        <x:v>Add expanded copy after image review</x:v>
      </x:c>
      <x:c r="M32" s="76" t="str">
        <x:v>Active coordinates</x:v>
      </x:c>
      <x:c r="N32" s="76"/>
      <x:c r="O32" s="76" t="str">
        <x:v>STREEX-owned original — Juan</x:v>
      </x:c>
      <x:c r="P32" s="76" t="str">
        <x:v>User-owned original; permission confirmed</x:v>
      </x:c>
      <x:c r="Q32" s="76" t="str">
        <x:v>Selected from IMG_0264.jpeg; user-owned original optimized to local WebP with metadata stripped.</x:v>
      </x:c>
    </x:row>
    <x:row r="33" ht="42" customHeight="1">
      <x:c r="A33" s="72" t="str">
        <x:v>mcpollin-barn</x:v>
      </x:c>
      <x:c r="B33" s="72" t="str">
        <x:v>McPolin Barn</x:v>
      </x:c>
      <x:c r="C33" s="72" t="str">
        <x:v>Granero McPolin</x:v>
      </x:c>
      <x:c r="D33" s="72" t="str">
        <x:v>history</x:v>
      </x:c>
      <x:c r="E33" s="72" t="str">
        <x:v>Salt Lake corridor</x:v>
      </x:c>
      <x:c r="F33" s="73" t="str">
        <x:v>Active in app</x:v>
      </x:c>
      <x:c r="G33" s="72" t="str">
        <x:v>mcpollin-barn.jpg</x:v>
      </x:c>
      <x:c r="H33" s="72" t="str">
        <x:v>/images/passenger/around-you/wasatch-back.webp</x:v>
      </x:c>
      <x:c r="I33" s="78" t="str">
        <x:v>Shared fallback</x:v>
      </x:c>
      <x:c r="J33" s="79" t="str">
        <x:v>Yes</x:v>
      </x:c>
      <x:c r="K33" s="72" t="n">
        <x:v>1</x:v>
      </x:c>
      <x:c r="L33" s="72" t="str">
        <x:v>Add expanded copy after image review</x:v>
      </x:c>
      <x:c r="M33" s="72" t="str">
        <x:v>Active coordinates</x:v>
      </x:c>
      <x:c r="N33" s="72" t="str">
        <x:v>https://www.parkcity.org/departments/trails-open-space/historic-mcpolin-barn</x:v>
      </x:c>
      <x:c r="O33" s="72"/>
      <x:c r="P33" s="72"/>
      <x:c r="Q33" s="72" t="str">
        <x:v>Keep one landscape hero image; aim for a 16:9-ish crop, landmark clearly visible, no text overlays or identifiable people as the main subject.</x:v>
      </x:c>
    </x:row>
    <x:row r="34" ht="42" customHeight="1">
      <x:c r="A34" s="76" t="str">
        <x:v>jordanelle-state-park</x:v>
      </x:c>
      <x:c r="B34" s="76" t="str">
        <x:v>Jordanelle State Park</x:v>
      </x:c>
      <x:c r="C34" s="76" t="str">
        <x:v>Parque Estatal Jordanelle</x:v>
      </x:c>
      <x:c r="D34" s="76" t="str">
        <x:v>nature</x:v>
      </x:c>
      <x:c r="E34" s="76" t="str">
        <x:v>Salt Lake corridor</x:v>
      </x:c>
      <x:c r="F34" s="73" t="str">
        <x:v>Active in app</x:v>
      </x:c>
      <x:c r="G34" s="76" t="str">
        <x:v>jordanelle-state-park.jpg</x:v>
      </x:c>
      <x:c r="H34" s="76" t="str">
        <x:v>/images/passenger/around-you/wasatch-back.webp</x:v>
      </x:c>
      <x:c r="I34" s="78" t="str">
        <x:v>Shared fallback</x:v>
      </x:c>
      <x:c r="J34" s="79" t="str">
        <x:v>Yes</x:v>
      </x:c>
      <x:c r="K34" s="76" t="n">
        <x:v>1</x:v>
      </x:c>
      <x:c r="L34" s="76" t="str">
        <x:v>Add expanded copy after image review</x:v>
      </x:c>
      <x:c r="M34" s="76" t="str">
        <x:v>Active coordinates</x:v>
      </x:c>
      <x:c r="N34" s="76" t="str">
        <x:v>https://stateparks.utah.gov/parks/jordanelle/</x:v>
      </x:c>
      <x:c r="O34" s="76"/>
      <x:c r="P34" s="76"/>
      <x:c r="Q34" s="76" t="str">
        <x:v>Keep one landscape hero image; aim for a 16:9-ish crop, landmark clearly visible, no text overlays or identifiable people as the main subject.</x:v>
      </x:c>
    </x:row>
    <x:row r="35" ht="42" customHeight="1">
      <x:c r="A35" s="72" t="str">
        <x:v>guardsman-pass</x:v>
      </x:c>
      <x:c r="B35" s="72" t="str">
        <x:v>Guardsman Pass</x:v>
      </x:c>
      <x:c r="C35" s="72" t="str">
        <x:v>Paso Guardsman</x:v>
      </x:c>
      <x:c r="D35" s="72" t="str">
        <x:v>viewpoint</x:v>
      </x:c>
      <x:c r="E35" s="72" t="str">
        <x:v>Salt Lake corridor</x:v>
      </x:c>
      <x:c r="F35" s="73" t="str">
        <x:v>Active in app</x:v>
      </x:c>
      <x:c r="G35" s="72" t="str">
        <x:v>guardsman-pass.jpg</x:v>
      </x:c>
      <x:c r="H35" s="72" t="str">
        <x:v>/images/passenger/around-you/user/guardsman-pass-juan.webp</x:v>
      </x:c>
      <x:c r="I35" s="74" t="str">
        <x:v>Own local asset</x:v>
      </x:c>
      <x:c r="J35" s="75" t="str">
        <x:v>No</x:v>
      </x:c>
      <x:c r="K35" s="72" t="n">
        <x:v>1</x:v>
      </x:c>
      <x:c r="L35" s="72" t="str">
        <x:v>Add expanded copy after image review</x:v>
      </x:c>
      <x:c r="M35" s="72" t="str">
        <x:v>Active coordinates</x:v>
      </x:c>
      <x:c r="N35" s="72"/>
      <x:c r="O35" s="72" t="str">
        <x:v>STREEX-owned original — Juan</x:v>
      </x:c>
      <x:c r="P35" s="72" t="str">
        <x:v>User-owned original; permission confirmed</x:v>
      </x:c>
      <x:c r="Q35" s="72" t="str">
        <x:v>Selected from IMG_3408.jpeg; user-owned original optimized to local WebP with metadata stripped.</x:v>
      </x:c>
    </x:row>
    <x:row r="36" ht="42" customHeight="1">
      <x:c r="A36" s="76" t="str">
        <x:v>egyptian-theatre</x:v>
      </x:c>
      <x:c r="B36" s="76" t="str">
        <x:v>Egyptian Theatre</x:v>
      </x:c>
      <x:c r="C36" s="76" t="str">
        <x:v>Teatro Egyptian</x:v>
      </x:c>
      <x:c r="D36" s="76" t="str">
        <x:v>culture</x:v>
      </x:c>
      <x:c r="E36" s="76" t="str">
        <x:v>Salt Lake corridor</x:v>
      </x:c>
      <x:c r="F36" s="73" t="str">
        <x:v>Active in app</x:v>
      </x:c>
      <x:c r="G36" s="76" t="str">
        <x:v>egyptian-theatre.jpg</x:v>
      </x:c>
      <x:c r="H36" s="76" t="str">
        <x:v>/images/passenger/around-you/park-city.jpg</x:v>
      </x:c>
      <x:c r="I36" s="78" t="str">
        <x:v>Shared fallback</x:v>
      </x:c>
      <x:c r="J36" s="79" t="str">
        <x:v>Yes</x:v>
      </x:c>
      <x:c r="K36" s="76" t="n">
        <x:v>1</x:v>
      </x:c>
      <x:c r="L36" s="76" t="str">
        <x:v>Add expanded copy after image review</x:v>
      </x:c>
      <x:c r="M36" s="76" t="str">
        <x:v>Active coordinates</x:v>
      </x:c>
      <x:c r="N36" s="76" t="str">
        <x:v>https://www.egyptiantheatrecompany.org/</x:v>
      </x:c>
      <x:c r="O36" s="76"/>
      <x:c r="P36" s="76"/>
      <x:c r="Q36" s="76" t="str">
        <x:v>Keep one landscape hero image; aim for a 16:9-ish crop, landmark clearly visible, no text overlays or identifiable people as the main subject.</x:v>
      </x:c>
    </x:row>
    <x:row r="37" ht="42" customHeight="1">
      <x:c r="A37" s="72" t="str">
        <x:v>utah-museum-of-fine-arts</x:v>
      </x:c>
      <x:c r="B37" s="72" t="str">
        <x:v>Utah Museum of Fine Arts</x:v>
      </x:c>
      <x:c r="C37" s="72" t="str">
        <x:v>Museo de Bellas Artes de Utah</x:v>
      </x:c>
      <x:c r="D37" s="72" t="str">
        <x:v>museum</x:v>
      </x:c>
      <x:c r="E37" s="72" t="str">
        <x:v>Salt Lake corridor</x:v>
      </x:c>
      <x:c r="F37" s="80" t="str">
        <x:v>Candidate — not active</x:v>
      </x:c>
      <x:c r="G37" s="72" t="str">
        <x:v>utah-museum-of-fine-arts.jpg</x:v>
      </x:c>
      <x:c r="H37" s="72"/>
      <x:c r="I37" s="81" t="str">
        <x:v>Missing original</x:v>
      </x:c>
      <x:c r="J37" s="79" t="str">
        <x:v>Yes</x:v>
      </x:c>
      <x:c r="K37" s="72" t="n">
        <x:v>1</x:v>
      </x:c>
      <x:c r="L37" s="72" t="str">
        <x:v>Needs EN/ES copy</x:v>
      </x:c>
      <x:c r="M37" s="72" t="str">
        <x:v>To verify before catalog import</x:v>
      </x:c>
      <x:c r="N37" s="72" t="str">
        <x:v>https://www.umfa.utah.edu/</x:v>
      </x:c>
      <x:c r="O37" s="72"/>
      <x:c r="P37" s="72"/>
      <x:c r="Q3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38" ht="42" customHeight="1">
      <x:c r="A38" s="76" t="str">
        <x:v>the-leonardo</x:v>
      </x:c>
      <x:c r="B38" s="76" t="str">
        <x:v>The Leonardo</x:v>
      </x:c>
      <x:c r="C38" s="76" t="str">
        <x:v>The Leonardo</x:v>
      </x:c>
      <x:c r="D38" s="76" t="str">
        <x:v>museum</x:v>
      </x:c>
      <x:c r="E38" s="76" t="str">
        <x:v>Salt Lake corridor</x:v>
      </x:c>
      <x:c r="F38" s="80" t="str">
        <x:v>Candidate — not active</x:v>
      </x:c>
      <x:c r="G38" s="76" t="str">
        <x:v>the-leonardo.jpg</x:v>
      </x:c>
      <x:c r="H38" s="76"/>
      <x:c r="I38" s="81" t="str">
        <x:v>Missing original</x:v>
      </x:c>
      <x:c r="J38" s="79" t="str">
        <x:v>Yes</x:v>
      </x:c>
      <x:c r="K38" s="76" t="n">
        <x:v>1</x:v>
      </x:c>
      <x:c r="L38" s="76" t="str">
        <x:v>Needs EN/ES copy</x:v>
      </x:c>
      <x:c r="M38" s="76" t="str">
        <x:v>To verify before catalog import</x:v>
      </x:c>
      <x:c r="N38" s="76" t="str">
        <x:v>https://theleonardo.org/</x:v>
      </x:c>
      <x:c r="O38" s="76"/>
      <x:c r="P38" s="76"/>
      <x:c r="Q3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39" ht="42" customHeight="1">
      <x:c r="A39" s="72" t="str">
        <x:v>clark-planetarium</x:v>
      </x:c>
      <x:c r="B39" s="72" t="str">
        <x:v>Clark Planetarium</x:v>
      </x:c>
      <x:c r="C39" s="72" t="str">
        <x:v>Planetario Clark</x:v>
      </x:c>
      <x:c r="D39" s="72" t="str">
        <x:v>attraction</x:v>
      </x:c>
      <x:c r="E39" s="72" t="str">
        <x:v>Salt Lake corridor</x:v>
      </x:c>
      <x:c r="F39" s="80" t="str">
        <x:v>Candidate — not active</x:v>
      </x:c>
      <x:c r="G39" s="72" t="str">
        <x:v>clark-planetarium.jpg</x:v>
      </x:c>
      <x:c r="H39" s="72"/>
      <x:c r="I39" s="81" t="str">
        <x:v>Missing original</x:v>
      </x:c>
      <x:c r="J39" s="79" t="str">
        <x:v>Yes</x:v>
      </x:c>
      <x:c r="K39" s="72" t="n">
        <x:v>1</x:v>
      </x:c>
      <x:c r="L39" s="72" t="str">
        <x:v>Needs EN/ES copy</x:v>
      </x:c>
      <x:c r="M39" s="72" t="str">
        <x:v>To verify before catalog import</x:v>
      </x:c>
      <x:c r="N39" s="72" t="str">
        <x:v>https://slplanet.com/</x:v>
      </x:c>
      <x:c r="O39" s="72"/>
      <x:c r="P39" s="72"/>
      <x:c r="Q3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0" ht="42" customHeight="1">
      <x:c r="A40" s="76" t="str">
        <x:v>discovery-gateway</x:v>
      </x:c>
      <x:c r="B40" s="76" t="str">
        <x:v>Discovery Gateway Children's Museum</x:v>
      </x:c>
      <x:c r="C40" s="76" t="str">
        <x:v>Museo Infantil Discovery Gateway</x:v>
      </x:c>
      <x:c r="D40" s="76" t="str">
        <x:v>museum</x:v>
      </x:c>
      <x:c r="E40" s="76" t="str">
        <x:v>Salt Lake corridor</x:v>
      </x:c>
      <x:c r="F40" s="80" t="str">
        <x:v>Candidate — not active</x:v>
      </x:c>
      <x:c r="G40" s="76" t="str">
        <x:v>discovery-gateway.jpg</x:v>
      </x:c>
      <x:c r="H40" s="76"/>
      <x:c r="I40" s="81" t="str">
        <x:v>Missing original</x:v>
      </x:c>
      <x:c r="J40" s="79" t="str">
        <x:v>Yes</x:v>
      </x:c>
      <x:c r="K40" s="76" t="n">
        <x:v>1</x:v>
      </x:c>
      <x:c r="L40" s="76" t="str">
        <x:v>Needs EN/ES copy</x:v>
      </x:c>
      <x:c r="M40" s="76" t="str">
        <x:v>To verify before catalog import</x:v>
      </x:c>
      <x:c r="N40" s="76" t="str">
        <x:v>https://discoverygateway.org/</x:v>
      </x:c>
      <x:c r="O40" s="76"/>
      <x:c r="P40" s="76"/>
      <x:c r="Q4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1" ht="42" customHeight="1">
      <x:c r="A41" s="72" t="str">
        <x:v>salt-palace-convention-center</x:v>
      </x:c>
      <x:c r="B41" s="72" t="str">
        <x:v>Salt Palace Convention Center</x:v>
      </x:c>
      <x:c r="C41" s="72" t="str">
        <x:v>Centro de Convenciones Salt Palace</x:v>
      </x:c>
      <x:c r="D41" s="72" t="str">
        <x:v>transportation</x:v>
      </x:c>
      <x:c r="E41" s="72" t="str">
        <x:v>Salt Lake corridor</x:v>
      </x:c>
      <x:c r="F41" s="80" t="str">
        <x:v>Candidate — not active</x:v>
      </x:c>
      <x:c r="G41" s="72" t="str">
        <x:v>salt-palace-convention-center.jpg</x:v>
      </x:c>
      <x:c r="H41" s="72"/>
      <x:c r="I41" s="81" t="str">
        <x:v>Missing original</x:v>
      </x:c>
      <x:c r="J41" s="79" t="str">
        <x:v>Yes</x:v>
      </x:c>
      <x:c r="K41" s="72" t="n">
        <x:v>1</x:v>
      </x:c>
      <x:c r="L41" s="72" t="str">
        <x:v>Needs EN/ES copy</x:v>
      </x:c>
      <x:c r="M41" s="72" t="str">
        <x:v>To verify before catalog import</x:v>
      </x:c>
      <x:c r="N41" s="72" t="str">
        <x:v>https://www.visitsaltlake.com/</x:v>
      </x:c>
      <x:c r="O41" s="72"/>
      <x:c r="P41" s="72"/>
      <x:c r="Q4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2" ht="42" customHeight="1">
      <x:c r="A42" s="76" t="str">
        <x:v>eccles-theater</x:v>
      </x:c>
      <x:c r="B42" s="76" t="str">
        <x:v>Eccles Theater</x:v>
      </x:c>
      <x:c r="C42" s="76" t="str">
        <x:v>Teatro Eccles</x:v>
      </x:c>
      <x:c r="D42" s="76" t="str">
        <x:v>culture</x:v>
      </x:c>
      <x:c r="E42" s="76" t="str">
        <x:v>Salt Lake corridor</x:v>
      </x:c>
      <x:c r="F42" s="80" t="str">
        <x:v>Candidate — not active</x:v>
      </x:c>
      <x:c r="G42" s="76" t="str">
        <x:v>eccles-theater.jpg</x:v>
      </x:c>
      <x:c r="H42" s="76"/>
      <x:c r="I42" s="81" t="str">
        <x:v>Missing original</x:v>
      </x:c>
      <x:c r="J42" s="79" t="str">
        <x:v>Yes</x:v>
      </x:c>
      <x:c r="K42" s="76" t="n">
        <x:v>1</x:v>
      </x:c>
      <x:c r="L42" s="76" t="str">
        <x:v>Needs EN/ES copy</x:v>
      </x:c>
      <x:c r="M42" s="76" t="str">
        <x:v>To verify before catalog import</x:v>
      </x:c>
      <x:c r="N42" s="76" t="str">
        <x:v>https://www.eccles-theater.com/</x:v>
      </x:c>
      <x:c r="O42" s="76"/>
      <x:c r="P42" s="76"/>
      <x:c r="Q4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3" ht="42" customHeight="1">
      <x:c r="A43" s="72" t="str">
        <x:v>abravanel-hall</x:v>
      </x:c>
      <x:c r="B43" s="72" t="str">
        <x:v>Abravanel Hall</x:v>
      </x:c>
      <x:c r="C43" s="72" t="str">
        <x:v>Sala Abravanel</x:v>
      </x:c>
      <x:c r="D43" s="72" t="str">
        <x:v>culture</x:v>
      </x:c>
      <x:c r="E43" s="72" t="str">
        <x:v>Salt Lake corridor</x:v>
      </x:c>
      <x:c r="F43" s="80" t="str">
        <x:v>Candidate — not active</x:v>
      </x:c>
      <x:c r="G43" s="72" t="str">
        <x:v>abravanel-hall.jpg</x:v>
      </x:c>
      <x:c r="H43" s="72"/>
      <x:c r="I43" s="81" t="str">
        <x:v>Missing original</x:v>
      </x:c>
      <x:c r="J43" s="79" t="str">
        <x:v>Yes</x:v>
      </x:c>
      <x:c r="K43" s="72" t="n">
        <x:v>1</x:v>
      </x:c>
      <x:c r="L43" s="72" t="str">
        <x:v>Needs EN/ES copy</x:v>
      </x:c>
      <x:c r="M43" s="72" t="str">
        <x:v>To verify before catalog import</x:v>
      </x:c>
      <x:c r="N43" s="72" t="str">
        <x:v>https://utaharts.org/</x:v>
      </x:c>
      <x:c r="O43" s="72"/>
      <x:c r="P43" s="72"/>
      <x:c r="Q4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4" ht="42" customHeight="1">
      <x:c r="A44" s="76" t="str">
        <x:v>delta-center</x:v>
      </x:c>
      <x:c r="B44" s="76" t="str">
        <x:v>Delta Center</x:v>
      </x:c>
      <x:c r="C44" s="76" t="str">
        <x:v>Delta Center</x:v>
      </x:c>
      <x:c r="D44" s="76" t="str">
        <x:v>sports</x:v>
      </x:c>
      <x:c r="E44" s="76" t="str">
        <x:v>Salt Lake corridor</x:v>
      </x:c>
      <x:c r="F44" s="80" t="str">
        <x:v>Candidate — not active</x:v>
      </x:c>
      <x:c r="G44" s="76" t="str">
        <x:v>delta-center.jpg</x:v>
      </x:c>
      <x:c r="H44" s="76"/>
      <x:c r="I44" s="81" t="str">
        <x:v>Missing original</x:v>
      </x:c>
      <x:c r="J44" s="79" t="str">
        <x:v>Yes</x:v>
      </x:c>
      <x:c r="K44" s="76" t="n">
        <x:v>1</x:v>
      </x:c>
      <x:c r="L44" s="76" t="str">
        <x:v>Needs EN/ES copy</x:v>
      </x:c>
      <x:c r="M44" s="76" t="str">
        <x:v>To verify before catalog import</x:v>
      </x:c>
      <x:c r="N44" s="76" t="str">
        <x:v>https://www.nba.com/jazz/arena</x:v>
      </x:c>
      <x:c r="O44" s="76"/>
      <x:c r="P44" s="76"/>
      <x:c r="Q4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5" ht="42" customHeight="1">
      <x:c r="A45" s="72" t="str">
        <x:v>rice-eccles-stadium</x:v>
      </x:c>
      <x:c r="B45" s="72" t="str">
        <x:v>Rice-Eccles Stadium</x:v>
      </x:c>
      <x:c r="C45" s="72" t="str">
        <x:v>Estadio Rice-Eccles</x:v>
      </x:c>
      <x:c r="D45" s="72" t="str">
        <x:v>sports</x:v>
      </x:c>
      <x:c r="E45" s="72" t="str">
        <x:v>Salt Lake corridor</x:v>
      </x:c>
      <x:c r="F45" s="80" t="str">
        <x:v>Candidate — not active</x:v>
      </x:c>
      <x:c r="G45" s="72" t="str">
        <x:v>rice-eccles-stadium.jpg</x:v>
      </x:c>
      <x:c r="H45" s="72"/>
      <x:c r="I45" s="81" t="str">
        <x:v>Missing original</x:v>
      </x:c>
      <x:c r="J45" s="79" t="str">
        <x:v>Yes</x:v>
      </x:c>
      <x:c r="K45" s="72" t="n">
        <x:v>1</x:v>
      </x:c>
      <x:c r="L45" s="72" t="str">
        <x:v>Needs EN/ES copy</x:v>
      </x:c>
      <x:c r="M45" s="72" t="str">
        <x:v>To verify before catalog import</x:v>
      </x:c>
      <x:c r="N45" s="72" t="str">
        <x:v>https://stadium.utah.edu/</x:v>
      </x:c>
      <x:c r="O45" s="72"/>
      <x:c r="P45" s="72"/>
      <x:c r="Q45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6" ht="42" customHeight="1">
      <x:c r="A46" s="76" t="str">
        <x:v>america-first-field</x:v>
      </x:c>
      <x:c r="B46" s="76" t="str">
        <x:v>America First Field</x:v>
      </x:c>
      <x:c r="C46" s="76" t="str">
        <x:v>America First Field</x:v>
      </x:c>
      <x:c r="D46" s="76" t="str">
        <x:v>sports</x:v>
      </x:c>
      <x:c r="E46" s="76" t="str">
        <x:v>Salt Lake corridor</x:v>
      </x:c>
      <x:c r="F46" s="80" t="str">
        <x:v>Candidate — not active</x:v>
      </x:c>
      <x:c r="G46" s="76" t="str">
        <x:v>america-first-field.jpg</x:v>
      </x:c>
      <x:c r="H46" s="76"/>
      <x:c r="I46" s="81" t="str">
        <x:v>Missing original</x:v>
      </x:c>
      <x:c r="J46" s="79" t="str">
        <x:v>Yes</x:v>
      </x:c>
      <x:c r="K46" s="76" t="n">
        <x:v>1</x:v>
      </x:c>
      <x:c r="L46" s="76" t="str">
        <x:v>Needs EN/ES copy</x:v>
      </x:c>
      <x:c r="M46" s="76" t="str">
        <x:v>To verify before catalog import</x:v>
      </x:c>
      <x:c r="N46" s="76" t="str">
        <x:v>https://www.rsl.com/america-first-field</x:v>
      </x:c>
      <x:c r="O46" s="76"/>
      <x:c r="P46" s="76"/>
      <x:c r="Q46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7" ht="42" customHeight="1">
      <x:c r="A47" s="72" t="str">
        <x:v>maverik-stadium</x:v>
      </x:c>
      <x:c r="B47" s="72" t="str">
        <x:v>Maverik Stadium</x:v>
      </x:c>
      <x:c r="C47" s="72" t="str">
        <x:v>Estadio Maverik</x:v>
      </x:c>
      <x:c r="D47" s="72" t="str">
        <x:v>sports</x:v>
      </x:c>
      <x:c r="E47" s="72" t="str">
        <x:v>Salt Lake corridor</x:v>
      </x:c>
      <x:c r="F47" s="80" t="str">
        <x:v>Candidate — not active</x:v>
      </x:c>
      <x:c r="G47" s="72" t="str">
        <x:v>maverik-stadium.jpg</x:v>
      </x:c>
      <x:c r="H47" s="72"/>
      <x:c r="I47" s="81" t="str">
        <x:v>Missing original</x:v>
      </x:c>
      <x:c r="J47" s="79" t="str">
        <x:v>Yes</x:v>
      </x:c>
      <x:c r="K47" s="72" t="n">
        <x:v>1</x:v>
      </x:c>
      <x:c r="L47" s="72" t="str">
        <x:v>Needs EN/ES copy</x:v>
      </x:c>
      <x:c r="M47" s="72" t="str">
        <x:v>To verify before catalog import</x:v>
      </x:c>
      <x:c r="N47" s="72" t="str">
        <x:v>https://utahstateaggies.com/facilities/maverik-stadium/</x:v>
      </x:c>
      <x:c r="O47" s="72"/>
      <x:c r="P47" s="72"/>
      <x:c r="Q4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8" ht="42" customHeight="1">
      <x:c r="A48" s="76" t="str">
        <x:v>utah-state-fairpark</x:v>
      </x:c>
      <x:c r="B48" s="76" t="str">
        <x:v>Utah State Fairpark</x:v>
      </x:c>
      <x:c r="C48" s="76" t="str">
        <x:v>Recinto de la Feria Estatal de Utah</x:v>
      </x:c>
      <x:c r="D48" s="76" t="str">
        <x:v>attraction</x:v>
      </x:c>
      <x:c r="E48" s="76" t="str">
        <x:v>Salt Lake corridor</x:v>
      </x:c>
      <x:c r="F48" s="80" t="str">
        <x:v>Candidate — not active</x:v>
      </x:c>
      <x:c r="G48" s="76" t="str">
        <x:v>utah-state-fairpark.jpg</x:v>
      </x:c>
      <x:c r="H48" s="76"/>
      <x:c r="I48" s="81" t="str">
        <x:v>Missing original</x:v>
      </x:c>
      <x:c r="J48" s="79" t="str">
        <x:v>Yes</x:v>
      </x:c>
      <x:c r="K48" s="76" t="n">
        <x:v>1</x:v>
      </x:c>
      <x:c r="L48" s="76" t="str">
        <x:v>Needs EN/ES copy</x:v>
      </x:c>
      <x:c r="M48" s="76" t="str">
        <x:v>To verify before catalog import</x:v>
      </x:c>
      <x:c r="N48" s="76" t="str">
        <x:v>https://utahstatefair.com/</x:v>
      </x:c>
      <x:c r="O48" s="76"/>
      <x:c r="P48" s="76"/>
      <x:c r="Q4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9" ht="42" customHeight="1">
      <x:c r="A49" s="72" t="str">
        <x:v>sugar-house-park</x:v>
      </x:c>
      <x:c r="B49" s="72" t="str">
        <x:v>Sugar House Park</x:v>
      </x:c>
      <x:c r="C49" s="72" t="str">
        <x:v>Parque Sugar House</x:v>
      </x:c>
      <x:c r="D49" s="72" t="str">
        <x:v>park</x:v>
      </x:c>
      <x:c r="E49" s="72" t="str">
        <x:v>Salt Lake corridor</x:v>
      </x:c>
      <x:c r="F49" s="80" t="str">
        <x:v>Candidate — not active</x:v>
      </x:c>
      <x:c r="G49" s="72" t="str">
        <x:v>sugar-house-park.jpg</x:v>
      </x:c>
      <x:c r="H49" s="72"/>
      <x:c r="I49" s="81" t="str">
        <x:v>Missing original</x:v>
      </x:c>
      <x:c r="J49" s="79" t="str">
        <x:v>Yes</x:v>
      </x:c>
      <x:c r="K49" s="72" t="n">
        <x:v>1</x:v>
      </x:c>
      <x:c r="L49" s="72" t="str">
        <x:v>Needs EN/ES copy</x:v>
      </x:c>
      <x:c r="M49" s="72" t="str">
        <x:v>To verify before catalog import</x:v>
      </x:c>
      <x:c r="N49" s="72" t="str">
        <x:v>https://www.slc.gov/parks/</x:v>
      </x:c>
      <x:c r="O49" s="72"/>
      <x:c r="P49" s="72"/>
      <x:c r="Q4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0" ht="42" customHeight="1">
      <x:c r="A50" s="76" t="str">
        <x:v>9th-and-9th</x:v>
      </x:c>
      <x:c r="B50" s="76" t="str">
        <x:v>9th &amp; 9th</x:v>
      </x:c>
      <x:c r="C50" s="76" t="str">
        <x:v>9th &amp; 9th</x:v>
      </x:c>
      <x:c r="D50" s="76" t="str">
        <x:v>neighborhood</x:v>
      </x:c>
      <x:c r="E50" s="76" t="str">
        <x:v>Salt Lake corridor</x:v>
      </x:c>
      <x:c r="F50" s="80" t="str">
        <x:v>Candidate — not active</x:v>
      </x:c>
      <x:c r="G50" s="76" t="str">
        <x:v>9th-and-9th.jpg</x:v>
      </x:c>
      <x:c r="H50" s="76"/>
      <x:c r="I50" s="81" t="str">
        <x:v>Missing original</x:v>
      </x:c>
      <x:c r="J50" s="79" t="str">
        <x:v>Yes</x:v>
      </x:c>
      <x:c r="K50" s="76" t="n">
        <x:v>1</x:v>
      </x:c>
      <x:c r="L50" s="76" t="str">
        <x:v>Needs EN/ES copy</x:v>
      </x:c>
      <x:c r="M50" s="76" t="str">
        <x:v>To verify before catalog import</x:v>
      </x:c>
      <x:c r="N50" s="76" t="str">
        <x:v>https://www.visitsaltlake.com/</x:v>
      </x:c>
      <x:c r="O50" s="76"/>
      <x:c r="P50" s="76"/>
      <x:c r="Q5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1" ht="42" customHeight="1">
      <x:c r="A51" s="72" t="str">
        <x:v>the-avenues</x:v>
      </x:c>
      <x:c r="B51" s="72" t="str">
        <x:v>The Avenues</x:v>
      </x:c>
      <x:c r="C51" s="72" t="str">
        <x:v>The Avenues</x:v>
      </x:c>
      <x:c r="D51" s="72" t="str">
        <x:v>neighborhood</x:v>
      </x:c>
      <x:c r="E51" s="72" t="str">
        <x:v>Salt Lake corridor</x:v>
      </x:c>
      <x:c r="F51" s="80" t="str">
        <x:v>Candidate — not active</x:v>
      </x:c>
      <x:c r="G51" s="72" t="str">
        <x:v>the-avenues.jpg</x:v>
      </x:c>
      <x:c r="H51" s="72"/>
      <x:c r="I51" s="81" t="str">
        <x:v>Missing original</x:v>
      </x:c>
      <x:c r="J51" s="79" t="str">
        <x:v>Yes</x:v>
      </x:c>
      <x:c r="K51" s="72" t="n">
        <x:v>1</x:v>
      </x:c>
      <x:c r="L51" s="72" t="str">
        <x:v>Needs EN/ES copy</x:v>
      </x:c>
      <x:c r="M51" s="72" t="str">
        <x:v>To verify before catalog import</x:v>
      </x:c>
      <x:c r="N51" s="72" t="str">
        <x:v>https://www.slc.gov/</x:v>
      </x:c>
      <x:c r="O51" s="72"/>
      <x:c r="P51" s="72"/>
      <x:c r="Q5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2" ht="42" customHeight="1">
      <x:c r="A52" s="76" t="str">
        <x:v>memory-grove-park</x:v>
      </x:c>
      <x:c r="B52" s="76" t="str">
        <x:v>Memory Grove Park</x:v>
      </x:c>
      <x:c r="C52" s="76" t="str">
        <x:v>Parque Memory Grove</x:v>
      </x:c>
      <x:c r="D52" s="76" t="str">
        <x:v>park</x:v>
      </x:c>
      <x:c r="E52" s="76" t="str">
        <x:v>Salt Lake corridor</x:v>
      </x:c>
      <x:c r="F52" s="80" t="str">
        <x:v>Candidate — not active</x:v>
      </x:c>
      <x:c r="G52" s="76" t="str">
        <x:v>memory-grove-park.jpg</x:v>
      </x:c>
      <x:c r="H52" s="76"/>
      <x:c r="I52" s="81" t="str">
        <x:v>Missing original</x:v>
      </x:c>
      <x:c r="J52" s="79" t="str">
        <x:v>Yes</x:v>
      </x:c>
      <x:c r="K52" s="76" t="n">
        <x:v>1</x:v>
      </x:c>
      <x:c r="L52" s="76" t="str">
        <x:v>Needs EN/ES copy</x:v>
      </x:c>
      <x:c r="M52" s="76" t="str">
        <x:v>To verify before catalog import</x:v>
      </x:c>
      <x:c r="N52" s="76" t="str">
        <x:v>https://www.slc.gov/parks/</x:v>
      </x:c>
      <x:c r="O52" s="76"/>
      <x:c r="P52" s="76"/>
      <x:c r="Q5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3" ht="42" customHeight="1">
      <x:c r="A53" s="72" t="str">
        <x:v>jordan-river-parkway</x:v>
      </x:c>
      <x:c r="B53" s="72" t="str">
        <x:v>Jordan River Parkway</x:v>
      </x:c>
      <x:c r="C53" s="72" t="str">
        <x:v>Corredor Jordan River</x:v>
      </x:c>
      <x:c r="D53" s="72" t="str">
        <x:v>nature</x:v>
      </x:c>
      <x:c r="E53" s="72" t="str">
        <x:v>Salt Lake corridor</x:v>
      </x:c>
      <x:c r="F53" s="80" t="str">
        <x:v>Candidate — not active</x:v>
      </x:c>
      <x:c r="G53" s="72" t="str">
        <x:v>jordan-river-parkway.jpg</x:v>
      </x:c>
      <x:c r="H53" s="72"/>
      <x:c r="I53" s="81" t="str">
        <x:v>Missing original</x:v>
      </x:c>
      <x:c r="J53" s="79" t="str">
        <x:v>Yes</x:v>
      </x:c>
      <x:c r="K53" s="72" t="n">
        <x:v>1</x:v>
      </x:c>
      <x:c r="L53" s="72" t="str">
        <x:v>Needs EN/ES copy</x:v>
      </x:c>
      <x:c r="M53" s="72" t="str">
        <x:v>To verify before catalog import</x:v>
      </x:c>
      <x:c r="N53" s="72" t="str">
        <x:v>https://www.slc.gov/parks/</x:v>
      </x:c>
      <x:c r="O53" s="72"/>
      <x:c r="P53" s="72"/>
      <x:c r="Q5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4" ht="42" customHeight="1">
      <x:c r="A54" s="76" t="str">
        <x:v>bonneville-shoreline-trail</x:v>
      </x:c>
      <x:c r="B54" s="76" t="str">
        <x:v>Bonneville Shoreline Trail</x:v>
      </x:c>
      <x:c r="C54" s="76" t="str">
        <x:v>Sendero Bonneville Shoreline</x:v>
      </x:c>
      <x:c r="D54" s="76" t="str">
        <x:v>trail</x:v>
      </x:c>
      <x:c r="E54" s="76" t="str">
        <x:v>Salt Lake corridor</x:v>
      </x:c>
      <x:c r="F54" s="80" t="str">
        <x:v>Candidate — not active</x:v>
      </x:c>
      <x:c r="G54" s="76" t="str">
        <x:v>bonneville-shoreline-trail.jpg</x:v>
      </x:c>
      <x:c r="H54" s="76"/>
      <x:c r="I54" s="81" t="str">
        <x:v>Missing original</x:v>
      </x:c>
      <x:c r="J54" s="79" t="str">
        <x:v>Yes</x:v>
      </x:c>
      <x:c r="K54" s="76" t="n">
        <x:v>1</x:v>
      </x:c>
      <x:c r="L54" s="76" t="str">
        <x:v>Needs EN/ES copy</x:v>
      </x:c>
      <x:c r="M54" s="76" t="str">
        <x:v>To verify before catalog import</x:v>
      </x:c>
      <x:c r="N54" s="76" t="str">
        <x:v>https://www.fs.usda.gov/</x:v>
      </x:c>
      <x:c r="O54" s="76"/>
      <x:c r="P54" s="76"/>
      <x:c r="Q5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5" ht="42" customHeight="1">
      <x:c r="A55" s="72" t="str">
        <x:v>big-cottonwood-canyon</x:v>
      </x:c>
      <x:c r="B55" s="72" t="str">
        <x:v>Big Cottonwood Canyon</x:v>
      </x:c>
      <x:c r="C55" s="72" t="str">
        <x:v>Cañón Big Cottonwood</x:v>
      </x:c>
      <x:c r="D55" s="72" t="str">
        <x:v>mountain</x:v>
      </x:c>
      <x:c r="E55" s="72" t="str">
        <x:v>Park City / Wasatch Back</x:v>
      </x:c>
      <x:c r="F55" s="80" t="str">
        <x:v>Candidate — not active</x:v>
      </x:c>
      <x:c r="G55" s="72" t="str">
        <x:v>big-cottonwood-canyon.jpg</x:v>
      </x:c>
      <x:c r="H55" s="72"/>
      <x:c r="I55" s="81" t="str">
        <x:v>Missing original</x:v>
      </x:c>
      <x:c r="J55" s="79" t="str">
        <x:v>Yes</x:v>
      </x:c>
      <x:c r="K55" s="72" t="n">
        <x:v>1</x:v>
      </x:c>
      <x:c r="L55" s="72" t="str">
        <x:v>Needs EN/ES copy</x:v>
      </x:c>
      <x:c r="M55" s="72" t="str">
        <x:v>To verify before catalog import</x:v>
      </x:c>
      <x:c r="N55" s="72" t="str">
        <x:v>https://www.fs.usda.gov/</x:v>
      </x:c>
      <x:c r="O55" s="72"/>
      <x:c r="P55" s="72"/>
      <x:c r="Q55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6" ht="42" customHeight="1">
      <x:c r="A56" s="76" t="str">
        <x:v>little-cottonwood-canyon</x:v>
      </x:c>
      <x:c r="B56" s="76" t="str">
        <x:v>Little Cottonwood Canyon</x:v>
      </x:c>
      <x:c r="C56" s="76" t="str">
        <x:v>Cañón Little Cottonwood</x:v>
      </x:c>
      <x:c r="D56" s="76" t="str">
        <x:v>mountain</x:v>
      </x:c>
      <x:c r="E56" s="76" t="str">
        <x:v>Park City / Wasatch Back</x:v>
      </x:c>
      <x:c r="F56" s="80" t="str">
        <x:v>Candidate — not active</x:v>
      </x:c>
      <x:c r="G56" s="76" t="str">
        <x:v>little-cottonwood-canyon.jpg</x:v>
      </x:c>
      <x:c r="H56" s="76"/>
      <x:c r="I56" s="81" t="str">
        <x:v>Missing original</x:v>
      </x:c>
      <x:c r="J56" s="79" t="str">
        <x:v>Yes</x:v>
      </x:c>
      <x:c r="K56" s="76" t="n">
        <x:v>1</x:v>
      </x:c>
      <x:c r="L56" s="76" t="str">
        <x:v>Needs EN/ES copy</x:v>
      </x:c>
      <x:c r="M56" s="76" t="str">
        <x:v>To verify before catalog import</x:v>
      </x:c>
      <x:c r="N56" s="76" t="str">
        <x:v>https://www.fs.usda.gov/</x:v>
      </x:c>
      <x:c r="O56" s="76"/>
      <x:c r="P56" s="76"/>
      <x:c r="Q56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7" ht="42" customHeight="1">
      <x:c r="A57" s="72" t="str">
        <x:v>millcreek-canyon</x:v>
      </x:c>
      <x:c r="B57" s="72" t="str">
        <x:v>Millcreek Canyon</x:v>
      </x:c>
      <x:c r="C57" s="72" t="str">
        <x:v>Cañón Millcreek</x:v>
      </x:c>
      <x:c r="D57" s="72" t="str">
        <x:v>mountain</x:v>
      </x:c>
      <x:c r="E57" s="72" t="str">
        <x:v>Salt Lake corridor</x:v>
      </x:c>
      <x:c r="F57" s="80" t="str">
        <x:v>Candidate — not active</x:v>
      </x:c>
      <x:c r="G57" s="72" t="str">
        <x:v>millcreek-canyon.jpg</x:v>
      </x:c>
      <x:c r="H57" s="72"/>
      <x:c r="I57" s="81" t="str">
        <x:v>Missing original</x:v>
      </x:c>
      <x:c r="J57" s="79" t="str">
        <x:v>Yes</x:v>
      </x:c>
      <x:c r="K57" s="72" t="n">
        <x:v>1</x:v>
      </x:c>
      <x:c r="L57" s="72" t="str">
        <x:v>Needs EN/ES copy</x:v>
      </x:c>
      <x:c r="M57" s="72" t="str">
        <x:v>To verify before catalog import</x:v>
      </x:c>
      <x:c r="N57" s="72" t="str">
        <x:v>https://www.fs.usda.gov/</x:v>
      </x:c>
      <x:c r="O57" s="72"/>
      <x:c r="P57" s="72"/>
      <x:c r="Q5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8" ht="42" customHeight="1">
      <x:c r="A58" s="76" t="str">
        <x:v>snowbird</x:v>
      </x:c>
      <x:c r="B58" s="76" t="str">
        <x:v>Snowbird</x:v>
      </x:c>
      <x:c r="C58" s="76" t="str">
        <x:v>Snowbird</x:v>
      </x:c>
      <x:c r="D58" s="76" t="str">
        <x:v>resort</x:v>
      </x:c>
      <x:c r="E58" s="76" t="str">
        <x:v>Park City / Wasatch Back</x:v>
      </x:c>
      <x:c r="F58" s="80" t="str">
        <x:v>Candidate — not active</x:v>
      </x:c>
      <x:c r="G58" s="76" t="str">
        <x:v>snowbird.jpg</x:v>
      </x:c>
      <x:c r="H58" s="76"/>
      <x:c r="I58" s="81" t="str">
        <x:v>Missing original</x:v>
      </x:c>
      <x:c r="J58" s="79" t="str">
        <x:v>Yes</x:v>
      </x:c>
      <x:c r="K58" s="76" t="n">
        <x:v>1</x:v>
      </x:c>
      <x:c r="L58" s="76" t="str">
        <x:v>Needs EN/ES copy</x:v>
      </x:c>
      <x:c r="M58" s="76" t="str">
        <x:v>To verify before catalog import</x:v>
      </x:c>
      <x:c r="N58" s="76" t="str">
        <x:v>https://www.snowbird.com/</x:v>
      </x:c>
      <x:c r="O58" s="76"/>
      <x:c r="P58" s="76"/>
      <x:c r="Q5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9" ht="42" customHeight="1">
      <x:c r="A59" s="72" t="str">
        <x:v>alta-ski-area</x:v>
      </x:c>
      <x:c r="B59" s="72" t="str">
        <x:v>Alta Ski Area</x:v>
      </x:c>
      <x:c r="C59" s="72" t="str">
        <x:v>Área de esquí Alta</x:v>
      </x:c>
      <x:c r="D59" s="72" t="str">
        <x:v>resort</x:v>
      </x:c>
      <x:c r="E59" s="72" t="str">
        <x:v>Park City / Wasatch Back</x:v>
      </x:c>
      <x:c r="F59" s="80" t="str">
        <x:v>Candidate — not active</x:v>
      </x:c>
      <x:c r="G59" s="72" t="str">
        <x:v>alta-ski-area.jpg</x:v>
      </x:c>
      <x:c r="H59" s="72"/>
      <x:c r="I59" s="81" t="str">
        <x:v>Missing original</x:v>
      </x:c>
      <x:c r="J59" s="79" t="str">
        <x:v>Yes</x:v>
      </x:c>
      <x:c r="K59" s="72" t="n">
        <x:v>1</x:v>
      </x:c>
      <x:c r="L59" s="72" t="str">
        <x:v>Needs EN/ES copy</x:v>
      </x:c>
      <x:c r="M59" s="72" t="str">
        <x:v>To verify before catalog import</x:v>
      </x:c>
      <x:c r="N59" s="72" t="str">
        <x:v>https://www.alta.com/</x:v>
      </x:c>
      <x:c r="O59" s="72"/>
      <x:c r="P59" s="72"/>
      <x:c r="Q5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0" ht="42" customHeight="1">
      <x:c r="A60" s="76" t="str">
        <x:v>solitude-mountain-resort</x:v>
      </x:c>
      <x:c r="B60" s="76" t="str">
        <x:v>Solitude Mountain Resort</x:v>
      </x:c>
      <x:c r="C60" s="76" t="str">
        <x:v>Resort de montaña Solitude</x:v>
      </x:c>
      <x:c r="D60" s="76" t="str">
        <x:v>resort</x:v>
      </x:c>
      <x:c r="E60" s="76" t="str">
        <x:v>Park City / Wasatch Back</x:v>
      </x:c>
      <x:c r="F60" s="80" t="str">
        <x:v>Candidate — not active</x:v>
      </x:c>
      <x:c r="G60" s="76" t="str">
        <x:v>solitude-mountain-resort.jpg</x:v>
      </x:c>
      <x:c r="H60" s="76"/>
      <x:c r="I60" s="81" t="str">
        <x:v>Missing original</x:v>
      </x:c>
      <x:c r="J60" s="79" t="str">
        <x:v>Yes</x:v>
      </x:c>
      <x:c r="K60" s="76" t="n">
        <x:v>1</x:v>
      </x:c>
      <x:c r="L60" s="76" t="str">
        <x:v>Needs EN/ES copy</x:v>
      </x:c>
      <x:c r="M60" s="76" t="str">
        <x:v>To verify before catalog import</x:v>
      </x:c>
      <x:c r="N60" s="76" t="str">
        <x:v>https://www.solitudemountain.com/</x:v>
      </x:c>
      <x:c r="O60" s="76"/>
      <x:c r="P60" s="76"/>
      <x:c r="Q6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1" ht="42" customHeight="1">
      <x:c r="A61" s="72" t="str">
        <x:v>brighton-resort</x:v>
      </x:c>
      <x:c r="B61" s="72" t="str">
        <x:v>Brighton Resort</x:v>
      </x:c>
      <x:c r="C61" s="72" t="str">
        <x:v>Resort Brighton</x:v>
      </x:c>
      <x:c r="D61" s="72" t="str">
        <x:v>resort</x:v>
      </x:c>
      <x:c r="E61" s="72" t="str">
        <x:v>Park City / Wasatch Back</x:v>
      </x:c>
      <x:c r="F61" s="80" t="str">
        <x:v>Candidate — not active</x:v>
      </x:c>
      <x:c r="G61" s="72" t="str">
        <x:v>brighton-resort.jpg</x:v>
      </x:c>
      <x:c r="H61" s="72"/>
      <x:c r="I61" s="81" t="str">
        <x:v>Missing original</x:v>
      </x:c>
      <x:c r="J61" s="79" t="str">
        <x:v>Yes</x:v>
      </x:c>
      <x:c r="K61" s="72" t="n">
        <x:v>1</x:v>
      </x:c>
      <x:c r="L61" s="72" t="str">
        <x:v>Needs EN/ES copy</x:v>
      </x:c>
      <x:c r="M61" s="72" t="str">
        <x:v>To verify before catalog import</x:v>
      </x:c>
      <x:c r="N61" s="72" t="str">
        <x:v>https://brightonresort.com/</x:v>
      </x:c>
      <x:c r="O61" s="72"/>
      <x:c r="P61" s="72"/>
      <x:c r="Q6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2" ht="42" customHeight="1">
      <x:c r="A62" s="76" t="str">
        <x:v>snowbasin-resort</x:v>
      </x:c>
      <x:c r="B62" s="76" t="str">
        <x:v>Snowbasin Resort</x:v>
      </x:c>
      <x:c r="C62" s="76" t="str">
        <x:v>Resort Snowbasin</x:v>
      </x:c>
      <x:c r="D62" s="76" t="str">
        <x:v>resort</x:v>
      </x:c>
      <x:c r="E62" s="76" t="str">
        <x:v>Ogden / Northern Utah</x:v>
      </x:c>
      <x:c r="F62" s="80" t="str">
        <x:v>Candidate — not active</x:v>
      </x:c>
      <x:c r="G62" s="76" t="str">
        <x:v>snowbasin-resort.jpg</x:v>
      </x:c>
      <x:c r="H62" s="76"/>
      <x:c r="I62" s="81" t="str">
        <x:v>Missing original</x:v>
      </x:c>
      <x:c r="J62" s="79" t="str">
        <x:v>Yes</x:v>
      </x:c>
      <x:c r="K62" s="76" t="n">
        <x:v>1</x:v>
      </x:c>
      <x:c r="L62" s="76" t="str">
        <x:v>Needs EN/ES copy</x:v>
      </x:c>
      <x:c r="M62" s="76" t="str">
        <x:v>To verify before catalog import</x:v>
      </x:c>
      <x:c r="N62" s="76" t="str">
        <x:v>https://www.snowbasin.com/</x:v>
      </x:c>
      <x:c r="O62" s="76"/>
      <x:c r="P62" s="76"/>
      <x:c r="Q6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3" ht="42" customHeight="1">
      <x:c r="A63" s="72" t="str">
        <x:v>powder-mountain</x:v>
      </x:c>
      <x:c r="B63" s="72" t="str">
        <x:v>Powder Mountain</x:v>
      </x:c>
      <x:c r="C63" s="72" t="str">
        <x:v>Powder Mountain</x:v>
      </x:c>
      <x:c r="D63" s="72" t="str">
        <x:v>resort</x:v>
      </x:c>
      <x:c r="E63" s="72" t="str">
        <x:v>Ogden / Northern Utah</x:v>
      </x:c>
      <x:c r="F63" s="80" t="str">
        <x:v>Candidate — not active</x:v>
      </x:c>
      <x:c r="G63" s="72" t="str">
        <x:v>powder-mountain.jpg</x:v>
      </x:c>
      <x:c r="H63" s="72"/>
      <x:c r="I63" s="81" t="str">
        <x:v>Missing original</x:v>
      </x:c>
      <x:c r="J63" s="79" t="str">
        <x:v>Yes</x:v>
      </x:c>
      <x:c r="K63" s="72" t="n">
        <x:v>1</x:v>
      </x:c>
      <x:c r="L63" s="72" t="str">
        <x:v>Needs EN/ES copy</x:v>
      </x:c>
      <x:c r="M63" s="72" t="str">
        <x:v>To verify before catalog import</x:v>
      </x:c>
      <x:c r="N63" s="72" t="str">
        <x:v>https://www.powdermountain.com/</x:v>
      </x:c>
      <x:c r="O63" s="72"/>
      <x:c r="P63" s="72"/>
      <x:c r="Q6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4" ht="42" customHeight="1">
      <x:c r="A64" s="76" t="str">
        <x:v>canyons-village</x:v>
      </x:c>
      <x:c r="B64" s="76" t="str">
        <x:v>Canyons Village at Park City</x:v>
      </x:c>
      <x:c r="C64" s="76" t="str">
        <x:v>Canyons Village en Park City</x:v>
      </x:c>
      <x:c r="D64" s="76" t="str">
        <x:v>resort</x:v>
      </x:c>
      <x:c r="E64" s="76" t="str">
        <x:v>Park City / Wasatch Back</x:v>
      </x:c>
      <x:c r="F64" s="80" t="str">
        <x:v>Candidate — not active</x:v>
      </x:c>
      <x:c r="G64" s="76" t="str">
        <x:v>canyons-village.jpg</x:v>
      </x:c>
      <x:c r="H64" s="76"/>
      <x:c r="I64" s="81" t="str">
        <x:v>Missing original</x:v>
      </x:c>
      <x:c r="J64" s="79" t="str">
        <x:v>Yes</x:v>
      </x:c>
      <x:c r="K64" s="76" t="n">
        <x:v>1</x:v>
      </x:c>
      <x:c r="L64" s="76" t="str">
        <x:v>Needs EN/ES copy</x:v>
      </x:c>
      <x:c r="M64" s="76" t="str">
        <x:v>To verify before catalog import</x:v>
      </x:c>
      <x:c r="N64" s="76" t="str">
        <x:v>https://www.visitparkcity.com/</x:v>
      </x:c>
      <x:c r="O64" s="76"/>
      <x:c r="P64" s="76"/>
      <x:c r="Q6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5" ht="42" customHeight="1">
      <x:c r="A65" s="72" t="str">
        <x:v>park-city-mountain</x:v>
      </x:c>
      <x:c r="B65" s="72" t="str">
        <x:v>Park City Mountain</x:v>
      </x:c>
      <x:c r="C65" s="72" t="str">
        <x:v>Park City Mountain</x:v>
      </x:c>
      <x:c r="D65" s="72" t="str">
        <x:v>resort</x:v>
      </x:c>
      <x:c r="E65" s="72" t="str">
        <x:v>Park City / Wasatch Back</x:v>
      </x:c>
      <x:c r="F65" s="80" t="str">
        <x:v>Candidate — not active</x:v>
      </x:c>
      <x:c r="G65" s="72" t="str">
        <x:v>park-city-mountain.jpg</x:v>
      </x:c>
      <x:c r="H65" s="72"/>
      <x:c r="I65" s="81" t="str">
        <x:v>Missing original</x:v>
      </x:c>
      <x:c r="J65" s="79" t="str">
        <x:v>Yes</x:v>
      </x:c>
      <x:c r="K65" s="72" t="n">
        <x:v>1</x:v>
      </x:c>
      <x:c r="L65" s="72" t="str">
        <x:v>Needs EN/ES copy</x:v>
      </x:c>
      <x:c r="M65" s="72" t="str">
        <x:v>To verify before catalog import</x:v>
      </x:c>
      <x:c r="N65" s="72" t="str">
        <x:v>https://www.visitparkcity.com/</x:v>
      </x:c>
      <x:c r="O65" s="72"/>
      <x:c r="P65" s="72"/>
      <x:c r="Q65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6" ht="42" customHeight="1">
      <x:c r="A66" s="76" t="str">
        <x:v>park-city-library</x:v>
      </x:c>
      <x:c r="B66" s="76" t="str">
        <x:v>Park City Library</x:v>
      </x:c>
      <x:c r="C66" s="76" t="str">
        <x:v>Biblioteca de Park City</x:v>
      </x:c>
      <x:c r="D66" s="76" t="str">
        <x:v>culture</x:v>
      </x:c>
      <x:c r="E66" s="76" t="str">
        <x:v>Park City / Wasatch Back</x:v>
      </x:c>
      <x:c r="F66" s="80" t="str">
        <x:v>Candidate — not active</x:v>
      </x:c>
      <x:c r="G66" s="76" t="str">
        <x:v>park-city-library.jpg</x:v>
      </x:c>
      <x:c r="H66" s="76"/>
      <x:c r="I66" s="81" t="str">
        <x:v>Missing original</x:v>
      </x:c>
      <x:c r="J66" s="79" t="str">
        <x:v>Yes</x:v>
      </x:c>
      <x:c r="K66" s="76" t="n">
        <x:v>1</x:v>
      </x:c>
      <x:c r="L66" s="76" t="str">
        <x:v>Needs EN/ES copy</x:v>
      </x:c>
      <x:c r="M66" s="76" t="str">
        <x:v>To verify before catalog import</x:v>
      </x:c>
      <x:c r="N66" s="76" t="str">
        <x:v>https://www.visitparkcity.com/</x:v>
      </x:c>
      <x:c r="O66" s="76"/>
      <x:c r="P66" s="76"/>
      <x:c r="Q66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7" ht="42" customHeight="1">
      <x:c r="A67" s="72" t="str">
        <x:v>park-city-museum</x:v>
      </x:c>
      <x:c r="B67" s="72" t="str">
        <x:v>Park City Museum</x:v>
      </x:c>
      <x:c r="C67" s="72" t="str">
        <x:v>Museo de Park City</x:v>
      </x:c>
      <x:c r="D67" s="72" t="str">
        <x:v>museum</x:v>
      </x:c>
      <x:c r="E67" s="72" t="str">
        <x:v>Park City / Wasatch Back</x:v>
      </x:c>
      <x:c r="F67" s="80" t="str">
        <x:v>Candidate — not active</x:v>
      </x:c>
      <x:c r="G67" s="72" t="str">
        <x:v>park-city-museum.jpg</x:v>
      </x:c>
      <x:c r="H67" s="72"/>
      <x:c r="I67" s="81" t="str">
        <x:v>Missing original</x:v>
      </x:c>
      <x:c r="J67" s="79" t="str">
        <x:v>Yes</x:v>
      </x:c>
      <x:c r="K67" s="72" t="n">
        <x:v>1</x:v>
      </x:c>
      <x:c r="L67" s="72" t="str">
        <x:v>Needs EN/ES copy</x:v>
      </x:c>
      <x:c r="M67" s="72" t="str">
        <x:v>To verify before catalog import</x:v>
      </x:c>
      <x:c r="N67" s="72" t="str">
        <x:v>https://www.parkcityhistory.org/</x:v>
      </x:c>
      <x:c r="O67" s="72"/>
      <x:c r="P67" s="72"/>
      <x:c r="Q6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8" ht="42" customHeight="1">
      <x:c r="A68" s="76" t="str">
        <x:v>woodward-park-city</x:v>
      </x:c>
      <x:c r="B68" s="76" t="str">
        <x:v>Woodward Park City</x:v>
      </x:c>
      <x:c r="C68" s="76" t="str">
        <x:v>Woodward Park City</x:v>
      </x:c>
      <x:c r="D68" s="76" t="str">
        <x:v>attraction</x:v>
      </x:c>
      <x:c r="E68" s="76" t="str">
        <x:v>Park City / Wasatch Back</x:v>
      </x:c>
      <x:c r="F68" s="80" t="str">
        <x:v>Candidate — not active</x:v>
      </x:c>
      <x:c r="G68" s="76" t="str">
        <x:v>woodward-park-city.jpg</x:v>
      </x:c>
      <x:c r="H68" s="76"/>
      <x:c r="I68" s="81" t="str">
        <x:v>Missing original</x:v>
      </x:c>
      <x:c r="J68" s="79" t="str">
        <x:v>Yes</x:v>
      </x:c>
      <x:c r="K68" s="76" t="n">
        <x:v>1</x:v>
      </x:c>
      <x:c r="L68" s="76" t="str">
        <x:v>Needs EN/ES copy</x:v>
      </x:c>
      <x:c r="M68" s="76" t="str">
        <x:v>To verify before catalog import</x:v>
      </x:c>
      <x:c r="N68" s="76" t="str">
        <x:v>https://woodwardparkcity.com/</x:v>
      </x:c>
      <x:c r="O68" s="76"/>
      <x:c r="P68" s="76"/>
      <x:c r="Q6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9" ht="42" customHeight="1">
      <x:c r="A69" s="72" t="str">
        <x:v>heber-valley-railroad</x:v>
      </x:c>
      <x:c r="B69" s="72" t="str">
        <x:v>Heber Valley Railroad</x:v>
      </x:c>
      <x:c r="C69" s="72" t="str">
        <x:v>Ferrocarril del Valle de Heber</x:v>
      </x:c>
      <x:c r="D69" s="72" t="str">
        <x:v>transportation</x:v>
      </x:c>
      <x:c r="E69" s="72" t="str">
        <x:v>Utah County</x:v>
      </x:c>
      <x:c r="F69" s="80" t="str">
        <x:v>Candidate — not active</x:v>
      </x:c>
      <x:c r="G69" s="72" t="str">
        <x:v>heber-valley-railroad.jpg</x:v>
      </x:c>
      <x:c r="H69" s="72"/>
      <x:c r="I69" s="81" t="str">
        <x:v>Missing original</x:v>
      </x:c>
      <x:c r="J69" s="79" t="str">
        <x:v>Yes</x:v>
      </x:c>
      <x:c r="K69" s="72" t="n">
        <x:v>1</x:v>
      </x:c>
      <x:c r="L69" s="72" t="str">
        <x:v>Needs EN/ES copy</x:v>
      </x:c>
      <x:c r="M69" s="72" t="str">
        <x:v>To verify before catalog import</x:v>
      </x:c>
      <x:c r="N69" s="72" t="str">
        <x:v>https://www.hebervalleyrr.org/</x:v>
      </x:c>
      <x:c r="O69" s="72"/>
      <x:c r="P69" s="72"/>
      <x:c r="Q6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0" ht="42" customHeight="1">
      <x:c r="A70" s="76" t="str">
        <x:v>deer-creek-reservoir</x:v>
      </x:c>
      <x:c r="B70" s="76" t="str">
        <x:v>Deer Creek Reservoir</x:v>
      </x:c>
      <x:c r="C70" s="76" t="str">
        <x:v>Embalse Deer Creek</x:v>
      </x:c>
      <x:c r="D70" s="76" t="str">
        <x:v>nature</x:v>
      </x:c>
      <x:c r="E70" s="76" t="str">
        <x:v>Utah County</x:v>
      </x:c>
      <x:c r="F70" s="80" t="str">
        <x:v>Candidate — not active</x:v>
      </x:c>
      <x:c r="G70" s="76" t="str">
        <x:v>deer-creek-reservoir.jpg</x:v>
      </x:c>
      <x:c r="H70" s="76"/>
      <x:c r="I70" s="81" t="str">
        <x:v>Missing original</x:v>
      </x:c>
      <x:c r="J70" s="79" t="str">
        <x:v>Yes</x:v>
      </x:c>
      <x:c r="K70" s="76" t="n">
        <x:v>1</x:v>
      </x:c>
      <x:c r="L70" s="76" t="str">
        <x:v>Needs EN/ES copy</x:v>
      </x:c>
      <x:c r="M70" s="76" t="str">
        <x:v>To verify before catalog import</x:v>
      </x:c>
      <x:c r="N70" s="76" t="str">
        <x:v>https://stateparks.utah.gov/</x:v>
      </x:c>
      <x:c r="O70" s="76"/>
      <x:c r="P70" s="76"/>
      <x:c r="Q7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1" ht="42" customHeight="1">
      <x:c r="A71" s="72" t="str">
        <x:v>provo-canyon</x:v>
      </x:c>
      <x:c r="B71" s="72" t="str">
        <x:v>Provo Canyon</x:v>
      </x:c>
      <x:c r="C71" s="72" t="str">
        <x:v>Cañón Provo</x:v>
      </x:c>
      <x:c r="D71" s="72" t="str">
        <x:v>mountain</x:v>
      </x:c>
      <x:c r="E71" s="72" t="str">
        <x:v>Utah County</x:v>
      </x:c>
      <x:c r="F71" s="80" t="str">
        <x:v>Candidate — not active</x:v>
      </x:c>
      <x:c r="G71" s="72" t="str">
        <x:v>provo-canyon.jpg</x:v>
      </x:c>
      <x:c r="H71" s="72"/>
      <x:c r="I71" s="81" t="str">
        <x:v>Missing original</x:v>
      </x:c>
      <x:c r="J71" s="79" t="str">
        <x:v>Yes</x:v>
      </x:c>
      <x:c r="K71" s="72" t="n">
        <x:v>1</x:v>
      </x:c>
      <x:c r="L71" s="72" t="str">
        <x:v>Needs EN/ES copy</x:v>
      </x:c>
      <x:c r="M71" s="72" t="str">
        <x:v>To verify before catalog import</x:v>
      </x:c>
      <x:c r="N71" s="72" t="str">
        <x:v>https://www.fs.usda.gov/</x:v>
      </x:c>
      <x:c r="O71" s="72"/>
      <x:c r="P71" s="72"/>
      <x:c r="Q7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2" ht="42" customHeight="1">
      <x:c r="A72" s="76" t="str">
        <x:v>bridal-veil-falls</x:v>
      </x:c>
      <x:c r="B72" s="76" t="str">
        <x:v>Bridal Veil Falls</x:v>
      </x:c>
      <x:c r="C72" s="76" t="str">
        <x:v>Cascadas Bridal Veil</x:v>
      </x:c>
      <x:c r="D72" s="76" t="str">
        <x:v>nature</x:v>
      </x:c>
      <x:c r="E72" s="76" t="str">
        <x:v>Utah County</x:v>
      </x:c>
      <x:c r="F72" s="80" t="str">
        <x:v>Candidate — not active</x:v>
      </x:c>
      <x:c r="G72" s="76" t="str">
        <x:v>bridal-veil-falls.jpg</x:v>
      </x:c>
      <x:c r="H72" s="76"/>
      <x:c r="I72" s="81" t="str">
        <x:v>Missing original</x:v>
      </x:c>
      <x:c r="J72" s="79" t="str">
        <x:v>Yes</x:v>
      </x:c>
      <x:c r="K72" s="76" t="n">
        <x:v>1</x:v>
      </x:c>
      <x:c r="L72" s="76" t="str">
        <x:v>Needs EN/ES copy</x:v>
      </x:c>
      <x:c r="M72" s="76" t="str">
        <x:v>To verify before catalog import</x:v>
      </x:c>
      <x:c r="N72" s="76" t="str">
        <x:v>https://www.fs.usda.gov/</x:v>
      </x:c>
      <x:c r="O72" s="76"/>
      <x:c r="P72" s="76"/>
      <x:c r="Q7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3" ht="42" customHeight="1">
      <x:c r="A73" s="72" t="str">
        <x:v>mount-timpanogos</x:v>
      </x:c>
      <x:c r="B73" s="72" t="str">
        <x:v>Mount Timpanogos</x:v>
      </x:c>
      <x:c r="C73" s="72" t="str">
        <x:v>Monte Timpanogos</x:v>
      </x:c>
      <x:c r="D73" s="72" t="str">
        <x:v>mountain</x:v>
      </x:c>
      <x:c r="E73" s="72" t="str">
        <x:v>Utah County</x:v>
      </x:c>
      <x:c r="F73" s="80" t="str">
        <x:v>Candidate — not active</x:v>
      </x:c>
      <x:c r="G73" s="72" t="str">
        <x:v>mount-timpanogos.jpg</x:v>
      </x:c>
      <x:c r="H73" s="72"/>
      <x:c r="I73" s="81" t="str">
        <x:v>Missing original</x:v>
      </x:c>
      <x:c r="J73" s="79" t="str">
        <x:v>Yes</x:v>
      </x:c>
      <x:c r="K73" s="72" t="n">
        <x:v>1</x:v>
      </x:c>
      <x:c r="L73" s="72" t="str">
        <x:v>Needs EN/ES copy</x:v>
      </x:c>
      <x:c r="M73" s="72" t="str">
        <x:v>To verify before catalog import</x:v>
      </x:c>
      <x:c r="N73" s="72" t="str">
        <x:v>https://www.fs.usda.gov/</x:v>
      </x:c>
      <x:c r="O73" s="72"/>
      <x:c r="P73" s="72"/>
      <x:c r="Q7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4" ht="42" customHeight="1">
      <x:c r="A74" s="76" t="str">
        <x:v>ogden-union-station</x:v>
      </x:c>
      <x:c r="B74" s="76" t="str">
        <x:v>Ogden Union Station</x:v>
      </x:c>
      <x:c r="C74" s="76" t="str">
        <x:v>Estación Union de Ogden</x:v>
      </x:c>
      <x:c r="D74" s="76" t="str">
        <x:v>transportation</x:v>
      </x:c>
      <x:c r="E74" s="76" t="str">
        <x:v>Ogden / Northern Utah</x:v>
      </x:c>
      <x:c r="F74" s="80" t="str">
        <x:v>Candidate — not active</x:v>
      </x:c>
      <x:c r="G74" s="76" t="str">
        <x:v>ogden-union-station.jpg</x:v>
      </x:c>
      <x:c r="H74" s="76"/>
      <x:c r="I74" s="81" t="str">
        <x:v>Missing original</x:v>
      </x:c>
      <x:c r="J74" s="79" t="str">
        <x:v>Yes</x:v>
      </x:c>
      <x:c r="K74" s="76" t="n">
        <x:v>1</x:v>
      </x:c>
      <x:c r="L74" s="76" t="str">
        <x:v>Needs EN/ES copy</x:v>
      </x:c>
      <x:c r="M74" s="76" t="str">
        <x:v>To verify before catalog import</x:v>
      </x:c>
      <x:c r="N74" s="76" t="str">
        <x:v>https://www.visitogden.com/</x:v>
      </x:c>
      <x:c r="O74" s="76"/>
      <x:c r="P74" s="76"/>
      <x:c r="Q7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5" ht="42" customHeight="1">
      <x:c r="A75" s="72" t="str">
        <x:v>eccles-dinosaur-park</x:v>
      </x:c>
      <x:c r="B75" s="72" t="str">
        <x:v>Eccles Dinosaur Park</x:v>
      </x:c>
      <x:c r="C75" s="72" t="str">
        <x:v>Parque de Dinosaurios Eccles</x:v>
      </x:c>
      <x:c r="D75" s="72" t="str">
        <x:v>attraction</x:v>
      </x:c>
      <x:c r="E75" s="72" t="str">
        <x:v>Ogden / Northern Utah</x:v>
      </x:c>
      <x:c r="F75" s="80" t="str">
        <x:v>Candidate — not active</x:v>
      </x:c>
      <x:c r="G75" s="72" t="str">
        <x:v>eccles-dinosaur-park.jpg</x:v>
      </x:c>
      <x:c r="H75" s="72"/>
      <x:c r="I75" s="81" t="str">
        <x:v>Missing original</x:v>
      </x:c>
      <x:c r="J75" s="79" t="str">
        <x:v>Yes</x:v>
      </x:c>
      <x:c r="K75" s="72" t="n">
        <x:v>1</x:v>
      </x:c>
      <x:c r="L75" s="72" t="str">
        <x:v>Needs EN/ES copy</x:v>
      </x:c>
      <x:c r="M75" s="72" t="str">
        <x:v>To verify before catalog import</x:v>
      </x:c>
      <x:c r="N75" s="72" t="str">
        <x:v>https://dinosaurpark.org/</x:v>
      </x:c>
      <x:c r="O75" s="72"/>
      <x:c r="P75" s="72"/>
      <x:c r="Q75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6" ht="42" customHeight="1">
      <x:c r="A76" s="76" t="str">
        <x:v>ogden-nature-center</x:v>
      </x:c>
      <x:c r="B76" s="76" t="str">
        <x:v>Ogden Nature Center</x:v>
      </x:c>
      <x:c r="C76" s="76" t="str">
        <x:v>Centro de Naturaleza de Ogden</x:v>
      </x:c>
      <x:c r="D76" s="76" t="str">
        <x:v>nature</x:v>
      </x:c>
      <x:c r="E76" s="76" t="str">
        <x:v>Ogden / Northern Utah</x:v>
      </x:c>
      <x:c r="F76" s="80" t="str">
        <x:v>Candidate — not active</x:v>
      </x:c>
      <x:c r="G76" s="76" t="str">
        <x:v>ogden-nature-center.jpg</x:v>
      </x:c>
      <x:c r="H76" s="76"/>
      <x:c r="I76" s="81" t="str">
        <x:v>Missing original</x:v>
      </x:c>
      <x:c r="J76" s="79" t="str">
        <x:v>Yes</x:v>
      </x:c>
      <x:c r="K76" s="76" t="n">
        <x:v>1</x:v>
      </x:c>
      <x:c r="L76" s="76" t="str">
        <x:v>Needs EN/ES copy</x:v>
      </x:c>
      <x:c r="M76" s="76" t="str">
        <x:v>To verify before catalog import</x:v>
      </x:c>
      <x:c r="N76" s="76" t="str">
        <x:v>https://ogdennaturecenter.org/</x:v>
      </x:c>
      <x:c r="O76" s="76"/>
      <x:c r="P76" s="76"/>
      <x:c r="Q76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7" ht="42" customHeight="1">
      <x:c r="A77" s="72" t="str">
        <x:v>25th-street-historic-district</x:v>
      </x:c>
      <x:c r="B77" s="72" t="str">
        <x:v>25th Street Historic District</x:v>
      </x:c>
      <x:c r="C77" s="72" t="str">
        <x:v>Distrito Histórico de 25th Street</x:v>
      </x:c>
      <x:c r="D77" s="72" t="str">
        <x:v>history</x:v>
      </x:c>
      <x:c r="E77" s="72" t="str">
        <x:v>Ogden / Northern Utah</x:v>
      </x:c>
      <x:c r="F77" s="80" t="str">
        <x:v>Candidate — not active</x:v>
      </x:c>
      <x:c r="G77" s="72" t="str">
        <x:v>25th-street-historic-district.jpg</x:v>
      </x:c>
      <x:c r="H77" s="72"/>
      <x:c r="I77" s="81" t="str">
        <x:v>Missing original</x:v>
      </x:c>
      <x:c r="J77" s="79" t="str">
        <x:v>Yes</x:v>
      </x:c>
      <x:c r="K77" s="72" t="n">
        <x:v>1</x:v>
      </x:c>
      <x:c r="L77" s="72" t="str">
        <x:v>Needs EN/ES copy</x:v>
      </x:c>
      <x:c r="M77" s="72" t="str">
        <x:v>To verify before catalog import</x:v>
      </x:c>
      <x:c r="N77" s="72" t="str">
        <x:v>https://www.visitogden.com/</x:v>
      </x:c>
      <x:c r="O77" s="72"/>
      <x:c r="P77" s="72"/>
      <x:c r="Q7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8" ht="42" customHeight="1">
      <x:c r="A78" s="76" t="str">
        <x:v>hill-aerospace-museum</x:v>
      </x:c>
      <x:c r="B78" s="76" t="str">
        <x:v>Hill Aerospace Museum</x:v>
      </x:c>
      <x:c r="C78" s="76" t="str">
        <x:v>Museo Aeroespacial Hill</x:v>
      </x:c>
      <x:c r="D78" s="76" t="str">
        <x:v>museum</x:v>
      </x:c>
      <x:c r="E78" s="76" t="str">
        <x:v>Ogden / Northern Utah</x:v>
      </x:c>
      <x:c r="F78" s="80" t="str">
        <x:v>Candidate — not active</x:v>
      </x:c>
      <x:c r="G78" s="76" t="str">
        <x:v>hill-aerospace-museum.jpg</x:v>
      </x:c>
      <x:c r="H78" s="76"/>
      <x:c r="I78" s="81" t="str">
        <x:v>Missing original</x:v>
      </x:c>
      <x:c r="J78" s="79" t="str">
        <x:v>Yes</x:v>
      </x:c>
      <x:c r="K78" s="76" t="n">
        <x:v>1</x:v>
      </x:c>
      <x:c r="L78" s="76" t="str">
        <x:v>Needs EN/ES copy</x:v>
      </x:c>
      <x:c r="M78" s="76" t="str">
        <x:v>To verify before catalog import</x:v>
      </x:c>
      <x:c r="N78" s="76" t="str">
        <x:v>https://www.aerospaceutah.com/</x:v>
      </x:c>
      <x:c r="O78" s="76"/>
      <x:c r="P78" s="76"/>
      <x:c r="Q7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9" ht="42" customHeight="1">
      <x:c r="A79" s="72" t="str">
        <x:v>salomon-center</x:v>
      </x:c>
      <x:c r="B79" s="72" t="str">
        <x:v>Salomon Center</x:v>
      </x:c>
      <x:c r="C79" s="72" t="str">
        <x:v>Salomon Center</x:v>
      </x:c>
      <x:c r="D79" s="72" t="str">
        <x:v>attraction</x:v>
      </x:c>
      <x:c r="E79" s="72" t="str">
        <x:v>Ogden / Northern Utah</x:v>
      </x:c>
      <x:c r="F79" s="80" t="str">
        <x:v>Candidate — not active</x:v>
      </x:c>
      <x:c r="G79" s="72" t="str">
        <x:v>salomon-center.jpg</x:v>
      </x:c>
      <x:c r="H79" s="72"/>
      <x:c r="I79" s="81" t="str">
        <x:v>Missing original</x:v>
      </x:c>
      <x:c r="J79" s="79" t="str">
        <x:v>Yes</x:v>
      </x:c>
      <x:c r="K79" s="72" t="n">
        <x:v>1</x:v>
      </x:c>
      <x:c r="L79" s="72" t="str">
        <x:v>Needs EN/ES copy</x:v>
      </x:c>
      <x:c r="M79" s="72" t="str">
        <x:v>To verify before catalog import</x:v>
      </x:c>
      <x:c r="N79" s="72" t="str">
        <x:v>https://www.visitogden.com/</x:v>
      </x:c>
      <x:c r="O79" s="72"/>
      <x:c r="P79" s="72"/>
      <x:c r="Q7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0" ht="42" customHeight="1">
      <x:c r="A80" s="76" t="str">
        <x:v>weber-state-university</x:v>
      </x:c>
      <x:c r="B80" s="76" t="str">
        <x:v>Weber State University</x:v>
      </x:c>
      <x:c r="C80" s="76" t="str">
        <x:v>Universidad Estatal de Weber</x:v>
      </x:c>
      <x:c r="D80" s="76" t="str">
        <x:v>university</x:v>
      </x:c>
      <x:c r="E80" s="76" t="str">
        <x:v>Ogden / Northern Utah</x:v>
      </x:c>
      <x:c r="F80" s="80" t="str">
        <x:v>Candidate — not active</x:v>
      </x:c>
      <x:c r="G80" s="76" t="str">
        <x:v>weber-state-university.jpg</x:v>
      </x:c>
      <x:c r="H80" s="76"/>
      <x:c r="I80" s="81" t="str">
        <x:v>Missing original</x:v>
      </x:c>
      <x:c r="J80" s="79" t="str">
        <x:v>Yes</x:v>
      </x:c>
      <x:c r="K80" s="76" t="n">
        <x:v>1</x:v>
      </x:c>
      <x:c r="L80" s="76" t="str">
        <x:v>Needs EN/ES copy</x:v>
      </x:c>
      <x:c r="M80" s="76" t="str">
        <x:v>To verify before catalog import</x:v>
      </x:c>
      <x:c r="N80" s="76" t="str">
        <x:v>https://www.weber.edu/</x:v>
      </x:c>
      <x:c r="O80" s="76"/>
      <x:c r="P80" s="76"/>
      <x:c r="Q8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1" ht="42" customHeight="1">
      <x:c r="A81" s="72" t="str">
        <x:v>ogden-canyon</x:v>
      </x:c>
      <x:c r="B81" s="72" t="str">
        <x:v>Ogden Canyon</x:v>
      </x:c>
      <x:c r="C81" s="72" t="str">
        <x:v>Cañón Ogden</x:v>
      </x:c>
      <x:c r="D81" s="72" t="str">
        <x:v>mountain</x:v>
      </x:c>
      <x:c r="E81" s="72" t="str">
        <x:v>Ogden / Northern Utah</x:v>
      </x:c>
      <x:c r="F81" s="80" t="str">
        <x:v>Candidate — not active</x:v>
      </x:c>
      <x:c r="G81" s="72" t="str">
        <x:v>ogden-canyon.jpg</x:v>
      </x:c>
      <x:c r="H81" s="72"/>
      <x:c r="I81" s="81" t="str">
        <x:v>Missing original</x:v>
      </x:c>
      <x:c r="J81" s="79" t="str">
        <x:v>Yes</x:v>
      </x:c>
      <x:c r="K81" s="72" t="n">
        <x:v>1</x:v>
      </x:c>
      <x:c r="L81" s="72" t="str">
        <x:v>Needs EN/ES copy</x:v>
      </x:c>
      <x:c r="M81" s="72" t="str">
        <x:v>To verify before catalog import</x:v>
      </x:c>
      <x:c r="N81" s="72" t="str">
        <x:v>https://www.fs.usda.gov/</x:v>
      </x:c>
      <x:c r="O81" s="72"/>
      <x:c r="P81" s="72"/>
      <x:c r="Q8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2" ht="42" customHeight="1">
      <x:c r="A82" s="76" t="str">
        <x:v>pineview-reservoir</x:v>
      </x:c>
      <x:c r="B82" s="76" t="str">
        <x:v>Pineview Reservoir</x:v>
      </x:c>
      <x:c r="C82" s="76" t="str">
        <x:v>Embalse Pineview</x:v>
      </x:c>
      <x:c r="D82" s="76" t="str">
        <x:v>nature</x:v>
      </x:c>
      <x:c r="E82" s="76" t="str">
        <x:v>Ogden / Northern Utah</x:v>
      </x:c>
      <x:c r="F82" s="80" t="str">
        <x:v>Candidate — not active</x:v>
      </x:c>
      <x:c r="G82" s="76" t="str">
        <x:v>pineview-reservoir.jpg</x:v>
      </x:c>
      <x:c r="H82" s="76"/>
      <x:c r="I82" s="81" t="str">
        <x:v>Missing original</x:v>
      </x:c>
      <x:c r="J82" s="79" t="str">
        <x:v>Yes</x:v>
      </x:c>
      <x:c r="K82" s="76" t="n">
        <x:v>1</x:v>
      </x:c>
      <x:c r="L82" s="76" t="str">
        <x:v>Needs EN/ES copy</x:v>
      </x:c>
      <x:c r="M82" s="76" t="str">
        <x:v>To verify before catalog import</x:v>
      </x:c>
      <x:c r="N82" s="76" t="str">
        <x:v>https://www.visitogden.com/</x:v>
      </x:c>
      <x:c r="O82" s="76"/>
      <x:c r="P82" s="76"/>
      <x:c r="Q8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3" ht="42" customHeight="1">
      <x:c r="A83" s="72" t="str">
        <x:v>fielding-garr-ranch</x:v>
      </x:c>
      <x:c r="B83" s="72" t="str">
        <x:v>Fielding Garr Ranch</x:v>
      </x:c>
      <x:c r="C83" s="72" t="str">
        <x:v>Rancho Fielding Garr</x:v>
      </x:c>
      <x:c r="D83" s="72" t="str">
        <x:v>history</x:v>
      </x:c>
      <x:c r="E83" s="72" t="str">
        <x:v>Great Salt Lake / West Desert</x:v>
      </x:c>
      <x:c r="F83" s="80" t="str">
        <x:v>Candidate — not active</x:v>
      </x:c>
      <x:c r="G83" s="72" t="str">
        <x:v>fielding-garr-ranch.jpg</x:v>
      </x:c>
      <x:c r="H83" s="72"/>
      <x:c r="I83" s="81" t="str">
        <x:v>Missing original</x:v>
      </x:c>
      <x:c r="J83" s="79" t="str">
        <x:v>Yes</x:v>
      </x:c>
      <x:c r="K83" s="72" t="n">
        <x:v>1</x:v>
      </x:c>
      <x:c r="L83" s="72" t="str">
        <x:v>Needs EN/ES copy</x:v>
      </x:c>
      <x:c r="M83" s="72" t="str">
        <x:v>To verify before catalog import</x:v>
      </x:c>
      <x:c r="N83" s="72" t="str">
        <x:v>https://stateparks.utah.gov/parks/antelope-island/</x:v>
      </x:c>
      <x:c r="O83" s="72"/>
      <x:c r="P83" s="72"/>
      <x:c r="Q8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4" ht="42" customHeight="1">
      <x:c r="A84" s="76" t="str">
        <x:v>saltair</x:v>
      </x:c>
      <x:c r="B84" s="76" t="str">
        <x:v>Saltair</x:v>
      </x:c>
      <x:c r="C84" s="76" t="str">
        <x:v>Saltair</x:v>
      </x:c>
      <x:c r="D84" s="76" t="str">
        <x:v>culture</x:v>
      </x:c>
      <x:c r="E84" s="76" t="str">
        <x:v>Great Salt Lake / West Desert</x:v>
      </x:c>
      <x:c r="F84" s="80" t="str">
        <x:v>Candidate — not active</x:v>
      </x:c>
      <x:c r="G84" s="76" t="str">
        <x:v>saltair.jpg</x:v>
      </x:c>
      <x:c r="H84" s="76"/>
      <x:c r="I84" s="81" t="str">
        <x:v>Missing original</x:v>
      </x:c>
      <x:c r="J84" s="79" t="str">
        <x:v>Yes</x:v>
      </x:c>
      <x:c r="K84" s="76" t="n">
        <x:v>1</x:v>
      </x:c>
      <x:c r="L84" s="76" t="str">
        <x:v>Needs EN/ES copy</x:v>
      </x:c>
      <x:c r="M84" s="76" t="str">
        <x:v>To verify before catalog import</x:v>
      </x:c>
      <x:c r="N84" s="76" t="str">
        <x:v>https://saltairutah.com/</x:v>
      </x:c>
      <x:c r="O84" s="76"/>
      <x:c r="P84" s="76"/>
      <x:c r="Q8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5" ht="42" customHeight="1">
      <x:c r="A85" s="72" t="str">
        <x:v>spiral-jetty</x:v>
      </x:c>
      <x:c r="B85" s="72" t="str">
        <x:v>Spiral Jetty</x:v>
      </x:c>
      <x:c r="C85" s="72" t="str">
        <x:v>Spiral Jetty</x:v>
      </x:c>
      <x:c r="D85" s="72" t="str">
        <x:v>art</x:v>
      </x:c>
      <x:c r="E85" s="72" t="str">
        <x:v>Great Salt Lake / West Desert</x:v>
      </x:c>
      <x:c r="F85" s="80" t="str">
        <x:v>Candidate — not active</x:v>
      </x:c>
      <x:c r="G85" s="72" t="str">
        <x:v>spiral-jetty.jpg</x:v>
      </x:c>
      <x:c r="H85" s="72"/>
      <x:c r="I85" s="81" t="str">
        <x:v>Missing original</x:v>
      </x:c>
      <x:c r="J85" s="79" t="str">
        <x:v>Yes</x:v>
      </x:c>
      <x:c r="K85" s="72" t="n">
        <x:v>1</x:v>
      </x:c>
      <x:c r="L85" s="72" t="str">
        <x:v>Needs EN/ES copy</x:v>
      </x:c>
      <x:c r="M85" s="72" t="str">
        <x:v>To verify before catalog import</x:v>
      </x:c>
      <x:c r="N85" s="72" t="str">
        <x:v>https://www.utah.com/</x:v>
      </x:c>
      <x:c r="O85" s="72"/>
      <x:c r="P85" s="72"/>
      <x:c r="Q85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6" ht="42" customHeight="1">
      <x:c r="A86" s="76" t="str">
        <x:v>bonneville-salt-flats</x:v>
      </x:c>
      <x:c r="B86" s="76" t="str">
        <x:v>Bonneville Salt Flats</x:v>
      </x:c>
      <x:c r="C86" s="76" t="str">
        <x:v>Llanuras Saladas de Bonneville</x:v>
      </x:c>
      <x:c r="D86" s="76" t="str">
        <x:v>nature</x:v>
      </x:c>
      <x:c r="E86" s="76" t="str">
        <x:v>Great Salt Lake / West Desert</x:v>
      </x:c>
      <x:c r="F86" s="80" t="str">
        <x:v>Candidate — not active</x:v>
      </x:c>
      <x:c r="G86" s="76" t="str">
        <x:v>bonneville-salt-flats.jpg</x:v>
      </x:c>
      <x:c r="H86" s="76"/>
      <x:c r="I86" s="81" t="str">
        <x:v>Missing original</x:v>
      </x:c>
      <x:c r="J86" s="79" t="str">
        <x:v>Yes</x:v>
      </x:c>
      <x:c r="K86" s="76" t="n">
        <x:v>1</x:v>
      </x:c>
      <x:c r="L86" s="76" t="str">
        <x:v>Needs EN/ES copy</x:v>
      </x:c>
      <x:c r="M86" s="76" t="str">
        <x:v>To verify before catalog import</x:v>
      </x:c>
      <x:c r="N86" s="76" t="str">
        <x:v>https://stateparks.utah.gov/</x:v>
      </x:c>
      <x:c r="O86" s="76"/>
      <x:c r="P86" s="76"/>
      <x:c r="Q86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7" ht="42" customHeight="1">
      <x:c r="A87" s="72" t="str">
        <x:v>farmington-bay</x:v>
      </x:c>
      <x:c r="B87" s="72" t="str">
        <x:v>Farmington Bay Waterfowl Management Area</x:v>
      </x:c>
      <x:c r="C87" s="72" t="str">
        <x:v>Área de Manejo de Aves Acuáticas Farmington Bay</x:v>
      </x:c>
      <x:c r="D87" s="72" t="str">
        <x:v>nature</x:v>
      </x:c>
      <x:c r="E87" s="72" t="str">
        <x:v>Great Salt Lake / West Desert</x:v>
      </x:c>
      <x:c r="F87" s="80" t="str">
        <x:v>Candidate — not active</x:v>
      </x:c>
      <x:c r="G87" s="72" t="str">
        <x:v>farmington-bay.jpg</x:v>
      </x:c>
      <x:c r="H87" s="72"/>
      <x:c r="I87" s="81" t="str">
        <x:v>Missing original</x:v>
      </x:c>
      <x:c r="J87" s="79" t="str">
        <x:v>Yes</x:v>
      </x:c>
      <x:c r="K87" s="72" t="n">
        <x:v>1</x:v>
      </x:c>
      <x:c r="L87" s="72" t="str">
        <x:v>Needs EN/ES copy</x:v>
      </x:c>
      <x:c r="M87" s="72" t="str">
        <x:v>To verify before catalog import</x:v>
      </x:c>
      <x:c r="N87" s="72" t="str">
        <x:v>https://www.visitutah.com/</x:v>
      </x:c>
      <x:c r="O87" s="72"/>
      <x:c r="P87" s="72"/>
      <x:c r="Q8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8" ht="42" customHeight="1">
      <x:c r="A88" s="76" t="str">
        <x:v>bountiful</x:v>
      </x:c>
      <x:c r="B88" s="76" t="str">
        <x:v>Bountiful</x:v>
      </x:c>
      <x:c r="C88" s="76" t="str">
        <x:v>Bountiful</x:v>
      </x:c>
      <x:c r="D88" s="76" t="str">
        <x:v>city</x:v>
      </x:c>
      <x:c r="E88" s="76" t="str">
        <x:v>Salt Lake corridor</x:v>
      </x:c>
      <x:c r="F88" s="80" t="str">
        <x:v>Candidate — not active</x:v>
      </x:c>
      <x:c r="G88" s="76" t="str">
        <x:v>bountiful.jpg</x:v>
      </x:c>
      <x:c r="H88" s="76"/>
      <x:c r="I88" s="81" t="str">
        <x:v>Missing original</x:v>
      </x:c>
      <x:c r="J88" s="79" t="str">
        <x:v>Yes</x:v>
      </x:c>
      <x:c r="K88" s="76" t="n">
        <x:v>1</x:v>
      </x:c>
      <x:c r="L88" s="76" t="str">
        <x:v>Needs EN/ES copy</x:v>
      </x:c>
      <x:c r="M88" s="76" t="str">
        <x:v>To verify before catalog import</x:v>
      </x:c>
      <x:c r="N88" s="76" t="str">
        <x:v>https://www.visitutah.com/</x:v>
      </x:c>
      <x:c r="O88" s="76"/>
      <x:c r="P88" s="76"/>
      <x:c r="Q8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9" ht="42" customHeight="1">
      <x:c r="A89" s="72" t="str">
        <x:v>kaysville</x:v>
      </x:c>
      <x:c r="B89" s="72" t="str">
        <x:v>Kaysville</x:v>
      </x:c>
      <x:c r="C89" s="72" t="str">
        <x:v>Kaysville</x:v>
      </x:c>
      <x:c r="D89" s="72" t="str">
        <x:v>city</x:v>
      </x:c>
      <x:c r="E89" s="72" t="str">
        <x:v>Ogden / Northern Utah</x:v>
      </x:c>
      <x:c r="F89" s="80" t="str">
        <x:v>Candidate — not active</x:v>
      </x:c>
      <x:c r="G89" s="72" t="str">
        <x:v>kaysville.jpg</x:v>
      </x:c>
      <x:c r="H89" s="72"/>
      <x:c r="I89" s="81" t="str">
        <x:v>Missing original</x:v>
      </x:c>
      <x:c r="J89" s="79" t="str">
        <x:v>Yes</x:v>
      </x:c>
      <x:c r="K89" s="72" t="n">
        <x:v>1</x:v>
      </x:c>
      <x:c r="L89" s="72" t="str">
        <x:v>Needs EN/ES copy</x:v>
      </x:c>
      <x:c r="M89" s="72" t="str">
        <x:v>To verify before catalog import</x:v>
      </x:c>
      <x:c r="N89" s="72" t="str">
        <x:v>https://www.visitutah.com/</x:v>
      </x:c>
      <x:c r="O89" s="72"/>
      <x:c r="P89" s="72"/>
      <x:c r="Q8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0" ht="42" customHeight="1">
      <x:c r="A90" s="76" t="str">
        <x:v>layton</x:v>
      </x:c>
      <x:c r="B90" s="76" t="str">
        <x:v>Layton</x:v>
      </x:c>
      <x:c r="C90" s="76" t="str">
        <x:v>Layton</x:v>
      </x:c>
      <x:c r="D90" s="76" t="str">
        <x:v>city</x:v>
      </x:c>
      <x:c r="E90" s="76" t="str">
        <x:v>Ogden / Northern Utah</x:v>
      </x:c>
      <x:c r="F90" s="80" t="str">
        <x:v>Candidate — not active</x:v>
      </x:c>
      <x:c r="G90" s="76" t="str">
        <x:v>layton.jpg</x:v>
      </x:c>
      <x:c r="H90" s="76"/>
      <x:c r="I90" s="81" t="str">
        <x:v>Missing original</x:v>
      </x:c>
      <x:c r="J90" s="79" t="str">
        <x:v>Yes</x:v>
      </x:c>
      <x:c r="K90" s="76" t="n">
        <x:v>1</x:v>
      </x:c>
      <x:c r="L90" s="76" t="str">
        <x:v>Needs EN/ES copy</x:v>
      </x:c>
      <x:c r="M90" s="76" t="str">
        <x:v>To verify before catalog import</x:v>
      </x:c>
      <x:c r="N90" s="76" t="str">
        <x:v>https://www.visitutah.com/</x:v>
      </x:c>
      <x:c r="O90" s="76"/>
      <x:c r="P90" s="76"/>
      <x:c r="Q9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1" ht="42" customHeight="1">
      <x:c r="A91" s="72" t="str">
        <x:v>station-park-farmington</x:v>
      </x:c>
      <x:c r="B91" s="72" t="str">
        <x:v>Station Park Farmington</x:v>
      </x:c>
      <x:c r="C91" s="72" t="str">
        <x:v>Station Park Farmington</x:v>
      </x:c>
      <x:c r="D91" s="72" t="str">
        <x:v>shopping</x:v>
      </x:c>
      <x:c r="E91" s="72" t="str">
        <x:v>Ogden / Northern Utah</x:v>
      </x:c>
      <x:c r="F91" s="80" t="str">
        <x:v>Candidate — not active</x:v>
      </x:c>
      <x:c r="G91" s="72" t="str">
        <x:v>station-park-farmington.jpg</x:v>
      </x:c>
      <x:c r="H91" s="72"/>
      <x:c r="I91" s="81" t="str">
        <x:v>Missing original</x:v>
      </x:c>
      <x:c r="J91" s="79" t="str">
        <x:v>Yes</x:v>
      </x:c>
      <x:c r="K91" s="72" t="n">
        <x:v>1</x:v>
      </x:c>
      <x:c r="L91" s="72" t="str">
        <x:v>Needs EN/ES copy</x:v>
      </x:c>
      <x:c r="M91" s="72" t="str">
        <x:v>To verify before catalog import</x:v>
      </x:c>
      <x:c r="N91" s="72" t="str">
        <x:v>https://www.stationpark.com/</x:v>
      </x:c>
      <x:c r="O91" s="72"/>
      <x:c r="P91" s="72"/>
      <x:c r="Q9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2" ht="42" customHeight="1">
      <x:c r="A92" s="76" t="str">
        <x:v>city-creek-center</x:v>
      </x:c>
      <x:c r="B92" s="76" t="str">
        <x:v>City Creek Center</x:v>
      </x:c>
      <x:c r="C92" s="76" t="str">
        <x:v>City Creek Center</x:v>
      </x:c>
      <x:c r="D92" s="76" t="str">
        <x:v>shopping</x:v>
      </x:c>
      <x:c r="E92" s="76" t="str">
        <x:v>Salt Lake corridor</x:v>
      </x:c>
      <x:c r="F92" s="80" t="str">
        <x:v>Candidate — not active</x:v>
      </x:c>
      <x:c r="G92" s="76" t="str">
        <x:v>city-creek-center.jpg</x:v>
      </x:c>
      <x:c r="H92" s="76"/>
      <x:c r="I92" s="81" t="str">
        <x:v>Missing original</x:v>
      </x:c>
      <x:c r="J92" s="79" t="str">
        <x:v>Yes</x:v>
      </x:c>
      <x:c r="K92" s="76" t="n">
        <x:v>1</x:v>
      </x:c>
      <x:c r="L92" s="76" t="str">
        <x:v>Needs EN/ES copy</x:v>
      </x:c>
      <x:c r="M92" s="76" t="str">
        <x:v>To verify before catalog import</x:v>
      </x:c>
      <x:c r="N92" s="76" t="str">
        <x:v>https://www.shopcitycreekcenter.com/</x:v>
      </x:c>
      <x:c r="O92" s="76"/>
      <x:c r="P92" s="76"/>
      <x:c r="Q9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3" ht="42" customHeight="1">
      <x:c r="A93" s="72" t="str">
        <x:v>trolley-square</x:v>
      </x:c>
      <x:c r="B93" s="72" t="str">
        <x:v>Trolley Square</x:v>
      </x:c>
      <x:c r="C93" s="72" t="str">
        <x:v>Trolley Square</x:v>
      </x:c>
      <x:c r="D93" s="72" t="str">
        <x:v>shopping</x:v>
      </x:c>
      <x:c r="E93" s="72" t="str">
        <x:v>Salt Lake corridor</x:v>
      </x:c>
      <x:c r="F93" s="80" t="str">
        <x:v>Candidate — not active</x:v>
      </x:c>
      <x:c r="G93" s="72" t="str">
        <x:v>trolley-square.jpg</x:v>
      </x:c>
      <x:c r="H93" s="72"/>
      <x:c r="I93" s="81" t="str">
        <x:v>Missing original</x:v>
      </x:c>
      <x:c r="J93" s="79" t="str">
        <x:v>Yes</x:v>
      </x:c>
      <x:c r="K93" s="72" t="n">
        <x:v>1</x:v>
      </x:c>
      <x:c r="L93" s="72" t="str">
        <x:v>Needs EN/ES copy</x:v>
      </x:c>
      <x:c r="M93" s="72" t="str">
        <x:v>To verify before catalog import</x:v>
      </x:c>
      <x:c r="N93" s="72" t="str">
        <x:v>https://www.trolleysquare.com/</x:v>
      </x:c>
      <x:c r="O93" s="72"/>
      <x:c r="P93" s="72"/>
      <x:c r="Q9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4" ht="42" customHeight="1">
      <x:c r="A94" s="76" t="str">
        <x:v>900-south-historic-district</x:v>
      </x:c>
      <x:c r="B94" s="76" t="str">
        <x:v>900 South Historic District</x:v>
      </x:c>
      <x:c r="C94" s="76" t="str">
        <x:v>Distrito Histórico de 900 South</x:v>
      </x:c>
      <x:c r="D94" s="76" t="str">
        <x:v>neighborhood</x:v>
      </x:c>
      <x:c r="E94" s="76" t="str">
        <x:v>Salt Lake corridor</x:v>
      </x:c>
      <x:c r="F94" s="80" t="str">
        <x:v>Candidate — not active</x:v>
      </x:c>
      <x:c r="G94" s="76" t="str">
        <x:v>900-south-historic-district.jpg</x:v>
      </x:c>
      <x:c r="H94" s="76"/>
      <x:c r="I94" s="81" t="str">
        <x:v>Missing original</x:v>
      </x:c>
      <x:c r="J94" s="79" t="str">
        <x:v>Yes</x:v>
      </x:c>
      <x:c r="K94" s="76" t="n">
        <x:v>1</x:v>
      </x:c>
      <x:c r="L94" s="76" t="str">
        <x:v>Needs EN/ES copy</x:v>
      </x:c>
      <x:c r="M94" s="76" t="str">
        <x:v>To verify before catalog import</x:v>
      </x:c>
      <x:c r="N94" s="76" t="str">
        <x:v>https://www.slc.gov/</x:v>
      </x:c>
      <x:c r="O94" s="76"/>
      <x:c r="P94" s="76"/>
      <x:c r="Q9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5" ht="42" customHeight="1">
      <x:c r="A95" s="72" t="str">
        <x:v>sugar-house</x:v>
      </x:c>
      <x:c r="B95" s="72" t="str">
        <x:v>Sugar House</x:v>
      </x:c>
      <x:c r="C95" s="72" t="str">
        <x:v>Sugar House</x:v>
      </x:c>
      <x:c r="D95" s="72" t="str">
        <x:v>neighborhood</x:v>
      </x:c>
      <x:c r="E95" s="72" t="str">
        <x:v>Salt Lake corridor</x:v>
      </x:c>
      <x:c r="F95" s="80" t="str">
        <x:v>Candidate — not active</x:v>
      </x:c>
      <x:c r="G95" s="72" t="str">
        <x:v>sugar-house.jpg</x:v>
      </x:c>
      <x:c r="H95" s="72"/>
      <x:c r="I95" s="81" t="str">
        <x:v>Missing original</x:v>
      </x:c>
      <x:c r="J95" s="79" t="str">
        <x:v>Yes</x:v>
      </x:c>
      <x:c r="K95" s="72" t="n">
        <x:v>1</x:v>
      </x:c>
      <x:c r="L95" s="72" t="str">
        <x:v>Needs EN/ES copy</x:v>
      </x:c>
      <x:c r="M95" s="72" t="str">
        <x:v>To verify before catalog import</x:v>
      </x:c>
      <x:c r="N95" s="72" t="str">
        <x:v>https://www.slc.gov/</x:v>
      </x:c>
      <x:c r="O95" s="72"/>
      <x:c r="P95" s="72"/>
      <x:c r="Q95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6" ht="42" customHeight="1">
      <x:c r="A96" s="76" t="str">
        <x:v>holladay</x:v>
      </x:c>
      <x:c r="B96" s="76" t="str">
        <x:v>Holladay</x:v>
      </x:c>
      <x:c r="C96" s="76" t="str">
        <x:v>Holladay</x:v>
      </x:c>
      <x:c r="D96" s="76" t="str">
        <x:v>city</x:v>
      </x:c>
      <x:c r="E96" s="76" t="str">
        <x:v>Salt Lake corridor</x:v>
      </x:c>
      <x:c r="F96" s="80" t="str">
        <x:v>Candidate — not active</x:v>
      </x:c>
      <x:c r="G96" s="76" t="str">
        <x:v>holladay.jpg</x:v>
      </x:c>
      <x:c r="H96" s="76"/>
      <x:c r="I96" s="81" t="str">
        <x:v>Missing original</x:v>
      </x:c>
      <x:c r="J96" s="79" t="str">
        <x:v>Yes</x:v>
      </x:c>
      <x:c r="K96" s="76" t="n">
        <x:v>1</x:v>
      </x:c>
      <x:c r="L96" s="76" t="str">
        <x:v>Needs EN/ES copy</x:v>
      </x:c>
      <x:c r="M96" s="76" t="str">
        <x:v>To verify before catalog import</x:v>
      </x:c>
      <x:c r="N96" s="76" t="str">
        <x:v>https://www.holladayut.gov/</x:v>
      </x:c>
      <x:c r="O96" s="76"/>
      <x:c r="P96" s="76"/>
      <x:c r="Q96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7" ht="42" customHeight="1">
      <x:c r="A97" s="72" t="str">
        <x:v>draper</x:v>
      </x:c>
      <x:c r="B97" s="72" t="str">
        <x:v>Draper</x:v>
      </x:c>
      <x:c r="C97" s="72" t="str">
        <x:v>Draper</x:v>
      </x:c>
      <x:c r="D97" s="72" t="str">
        <x:v>city</x:v>
      </x:c>
      <x:c r="E97" s="72" t="str">
        <x:v>Salt Lake corridor</x:v>
      </x:c>
      <x:c r="F97" s="80" t="str">
        <x:v>Candidate — not active</x:v>
      </x:c>
      <x:c r="G97" s="72" t="str">
        <x:v>draper.jpg</x:v>
      </x:c>
      <x:c r="H97" s="72"/>
      <x:c r="I97" s="81" t="str">
        <x:v>Missing original</x:v>
      </x:c>
      <x:c r="J97" s="79" t="str">
        <x:v>Yes</x:v>
      </x:c>
      <x:c r="K97" s="72" t="n">
        <x:v>1</x:v>
      </x:c>
      <x:c r="L97" s="72" t="str">
        <x:v>Needs EN/ES copy</x:v>
      </x:c>
      <x:c r="M97" s="72" t="str">
        <x:v>To verify before catalog import</x:v>
      </x:c>
      <x:c r="N97" s="72" t="str">
        <x:v>https://www.draperutah.gov/</x:v>
      </x:c>
      <x:c r="O97" s="72"/>
      <x:c r="P97" s="72"/>
      <x:c r="Q9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8" ht="42" customHeight="1">
      <x:c r="A98" s="76" t="str">
        <x:v>sandy</x:v>
      </x:c>
      <x:c r="B98" s="76" t="str">
        <x:v>Sandy</x:v>
      </x:c>
      <x:c r="C98" s="76" t="str">
        <x:v>Sandy</x:v>
      </x:c>
      <x:c r="D98" s="76" t="str">
        <x:v>city</x:v>
      </x:c>
      <x:c r="E98" s="76" t="str">
        <x:v>Salt Lake corridor</x:v>
      </x:c>
      <x:c r="F98" s="80" t="str">
        <x:v>Candidate — not active</x:v>
      </x:c>
      <x:c r="G98" s="76" t="str">
        <x:v>sandy.jpg</x:v>
      </x:c>
      <x:c r="H98" s="76"/>
      <x:c r="I98" s="81" t="str">
        <x:v>Missing original</x:v>
      </x:c>
      <x:c r="J98" s="79" t="str">
        <x:v>Yes</x:v>
      </x:c>
      <x:c r="K98" s="76" t="n">
        <x:v>1</x:v>
      </x:c>
      <x:c r="L98" s="76" t="str">
        <x:v>Needs EN/ES copy</x:v>
      </x:c>
      <x:c r="M98" s="76" t="str">
        <x:v>To verify before catalog import</x:v>
      </x:c>
      <x:c r="N98" s="76" t="str">
        <x:v>https://www.sandy.utah.gov/</x:v>
      </x:c>
      <x:c r="O98" s="76"/>
      <x:c r="P98" s="76"/>
      <x:c r="Q9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9" ht="42" customHeight="1">
      <x:c r="A99" s="72" t="str">
        <x:v>mountain-dell-reservoir</x:v>
      </x:c>
      <x:c r="B99" s="72" t="str">
        <x:v>Mountain Dell Reservoir</x:v>
      </x:c>
      <x:c r="C99" s="72" t="str">
        <x:v>Embalse Mountain Dell</x:v>
      </x:c>
      <x:c r="D99" s="72" t="str">
        <x:v>nature</x:v>
      </x:c>
      <x:c r="E99" s="72" t="str">
        <x:v>Salt Lake corridor</x:v>
      </x:c>
      <x:c r="F99" s="80" t="str">
        <x:v>Candidate — not active</x:v>
      </x:c>
      <x:c r="G99" s="72" t="str">
        <x:v>mountain-dell-reservoir.jpg</x:v>
      </x:c>
      <x:c r="H99" s="72"/>
      <x:c r="I99" s="81" t="str">
        <x:v>Missing original</x:v>
      </x:c>
      <x:c r="J99" s="79" t="str">
        <x:v>Yes</x:v>
      </x:c>
      <x:c r="K99" s="72" t="n">
        <x:v>1</x:v>
      </x:c>
      <x:c r="L99" s="72" t="str">
        <x:v>Needs EN/ES copy</x:v>
      </x:c>
      <x:c r="M99" s="72" t="str">
        <x:v>To verify before catalog import</x:v>
      </x:c>
      <x:c r="N99" s="72" t="str">
        <x:v>https://www.slc.gov/parks/</x:v>
      </x:c>
      <x:c r="O99" s="72"/>
      <x:c r="P99" s="72"/>
      <x:c r="Q9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100" ht="42" customHeight="1">
      <x:c r="A100" s="76" t="str">
        <x:v>emigration-canyon</x:v>
      </x:c>
      <x:c r="B100" s="76" t="str">
        <x:v>Emigration Canyon</x:v>
      </x:c>
      <x:c r="C100" s="76" t="str">
        <x:v>Cañón Emigration</x:v>
      </x:c>
      <x:c r="D100" s="76" t="str">
        <x:v>mountain</x:v>
      </x:c>
      <x:c r="E100" s="76" t="str">
        <x:v>Salt Lake corridor</x:v>
      </x:c>
      <x:c r="F100" s="80" t="str">
        <x:v>Candidate — not active</x:v>
      </x:c>
      <x:c r="G100" s="76" t="str">
        <x:v>emigration-canyon.jpg</x:v>
      </x:c>
      <x:c r="H100" s="76"/>
      <x:c r="I100" s="81" t="str">
        <x:v>Missing original</x:v>
      </x:c>
      <x:c r="J100" s="79" t="str">
        <x:v>Yes</x:v>
      </x:c>
      <x:c r="K100" s="76" t="n">
        <x:v>1</x:v>
      </x:c>
      <x:c r="L100" s="76" t="str">
        <x:v>Needs EN/ES copy</x:v>
      </x:c>
      <x:c r="M100" s="76" t="str">
        <x:v>To verify before catalog import</x:v>
      </x:c>
      <x:c r="N100" s="76" t="str">
        <x:v>https://www.fs.usda.gov/</x:v>
      </x:c>
      <x:c r="O100" s="76"/>
      <x:c r="P100" s="76"/>
      <x:c r="Q10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101" ht="42" customHeight="1">
      <x:c r="A101" s="72" t="str">
        <x:v>thanksgiving-point</x:v>
      </x:c>
      <x:c r="B101" s="72" t="str">
        <x:v>Thanksgiving Point</x:v>
      </x:c>
      <x:c r="C101" s="72" t="str">
        <x:v>Thanksgiving Point</x:v>
      </x:c>
      <x:c r="D101" s="72" t="str">
        <x:v>attraction</x:v>
      </x:c>
      <x:c r="E101" s="72" t="str">
        <x:v>Utah County</x:v>
      </x:c>
      <x:c r="F101" s="80" t="str">
        <x:v>Candidate — not active</x:v>
      </x:c>
      <x:c r="G101" s="72" t="str">
        <x:v>thanksgiving-point.jpg</x:v>
      </x:c>
      <x:c r="H101" s="72"/>
      <x:c r="I101" s="81" t="str">
        <x:v>Missing original</x:v>
      </x:c>
      <x:c r="J101" s="79" t="str">
        <x:v>Yes</x:v>
      </x:c>
      <x:c r="K101" s="72" t="n">
        <x:v>1</x:v>
      </x:c>
      <x:c r="L101" s="72" t="str">
        <x:v>Needs EN/ES copy</x:v>
      </x:c>
      <x:c r="M101" s="72" t="str">
        <x:v>To verify before catalog import</x:v>
      </x:c>
      <x:c r="N101" s="72" t="str">
        <x:v>https://www.thanksgivingpoint.org/</x:v>
      </x:c>
      <x:c r="O101" s="72"/>
      <x:c r="P101" s="72"/>
      <x:c r="Q10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102" ht="42" customHeight="1">
      <x:c r="A102" s="76" t="str">
        <x:v>loveland-living-planet-aquarium</x:v>
      </x:c>
      <x:c r="B102" s="76" t="str">
        <x:v>Loveland Living Planet Aquarium</x:v>
      </x:c>
      <x:c r="C102" s="76" t="str">
        <x:v>Acuario Loveland Living Planet</x:v>
      </x:c>
      <x:c r="D102" s="76" t="str">
        <x:v>attraction</x:v>
      </x:c>
      <x:c r="E102" s="76" t="str">
        <x:v>Utah County</x:v>
      </x:c>
      <x:c r="F102" s="80" t="str">
        <x:v>Candidate — not active</x:v>
      </x:c>
      <x:c r="G102" s="76" t="str">
        <x:v>loveland-living-planet-aquarium.jpg</x:v>
      </x:c>
      <x:c r="H102" s="76"/>
      <x:c r="I102" s="81" t="str">
        <x:v>Missing original</x:v>
      </x:c>
      <x:c r="J102" s="79" t="str">
        <x:v>Yes</x:v>
      </x:c>
      <x:c r="K102" s="76" t="n">
        <x:v>1</x:v>
      </x:c>
      <x:c r="L102" s="76" t="str">
        <x:v>Needs EN/ES copy</x:v>
      </x:c>
      <x:c r="M102" s="76" t="str">
        <x:v>To verify before catalog import</x:v>
      </x:c>
      <x:c r="N102" s="76" t="str">
        <x:v>https://livingplanetaquarium.org/</x:v>
      </x:c>
      <x:c r="O102" s="76"/>
      <x:c r="P102" s="76"/>
      <x:c r="Q10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103" ht="42" customHeight="1">
      <x:c r="A103" s="72" t="str">
        <x:v>provo</x:v>
      </x:c>
      <x:c r="B103" s="72" t="str">
        <x:v>Provo</x:v>
      </x:c>
      <x:c r="C103" s="72" t="str">
        <x:v>Provo</x:v>
      </x:c>
      <x:c r="D103" s="72" t="str">
        <x:v>city</x:v>
      </x:c>
      <x:c r="E103" s="72" t="str">
        <x:v>Utah County</x:v>
      </x:c>
      <x:c r="F103" s="80" t="str">
        <x:v>Candidate — not active</x:v>
      </x:c>
      <x:c r="G103" s="72" t="str">
        <x:v>provo.jpg</x:v>
      </x:c>
      <x:c r="H103" s="72"/>
      <x:c r="I103" s="81" t="str">
        <x:v>Missing original</x:v>
      </x:c>
      <x:c r="J103" s="79" t="str">
        <x:v>Yes</x:v>
      </x:c>
      <x:c r="K103" s="72" t="n">
        <x:v>1</x:v>
      </x:c>
      <x:c r="L103" s="72" t="str">
        <x:v>Needs EN/ES copy</x:v>
      </x:c>
      <x:c r="M103" s="72" t="str">
        <x:v>To verify before catalog import</x:v>
      </x:c>
      <x:c r="N103" s="72" t="str">
        <x:v>https://www.provo.org/</x:v>
      </x:c>
      <x:c r="O103" s="72"/>
      <x:c r="P103" s="72"/>
      <x:c r="Q10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104" ht="42" customHeight="1">
      <x:c r="A104" s="76" t="str">
        <x:v>brigham-young-university</x:v>
      </x:c>
      <x:c r="B104" s="76" t="str">
        <x:v>Brigham Young University</x:v>
      </x:c>
      <x:c r="C104" s="76" t="str">
        <x:v>Universidad Brigham Young</x:v>
      </x:c>
      <x:c r="D104" s="76" t="str">
        <x:v>university</x:v>
      </x:c>
      <x:c r="E104" s="76" t="str">
        <x:v>Utah County</x:v>
      </x:c>
      <x:c r="F104" s="80" t="str">
        <x:v>Candidate — not active</x:v>
      </x:c>
      <x:c r="G104" s="76" t="str">
        <x:v>brigham-young-university.jpg</x:v>
      </x:c>
      <x:c r="H104" s="76"/>
      <x:c r="I104" s="81" t="str">
        <x:v>Missing original</x:v>
      </x:c>
      <x:c r="J104" s="79" t="str">
        <x:v>Yes</x:v>
      </x:c>
      <x:c r="K104" s="76" t="n">
        <x:v>1</x:v>
      </x:c>
      <x:c r="L104" s="76" t="str">
        <x:v>Needs EN/ES copy</x:v>
      </x:c>
      <x:c r="M104" s="76" t="str">
        <x:v>To verify before catalog import</x:v>
      </x:c>
      <x:c r="N104" s="76" t="str">
        <x:v>https://www.byu.edu/</x:v>
      </x:c>
      <x:c r="O104" s="76"/>
      <x:c r="P104" s="76"/>
      <x:c r="Q10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</x:sheetData>
  <x:mergeCells>
    <x:mergeCell ref="A1:Q1"/>
    <x:mergeCell ref="A2:Q2"/>
  </x:mergeCells>
  <x:pageMargins left="0.7" right="0.7" top="0.75" bottom="0.75" header="0.3" footer="0.3"/>
</x:worksheet>
</file>